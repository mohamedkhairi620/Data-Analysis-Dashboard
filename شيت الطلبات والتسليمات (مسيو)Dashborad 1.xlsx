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engkfsedu-my.sharepoint.com/personal/mohamed_967_ai_kfs_edu_eg/Documents/Desktop/Tasks Mazen/"/>
    </mc:Choice>
  </mc:AlternateContent>
  <xr:revisionPtr revIDLastSave="3" documentId="13_ncr:1_{BD634241-BB3F-4986-B897-6F5E9ADF143A}" xr6:coauthVersionLast="47" xr6:coauthVersionMax="47" xr10:uidLastSave="{45FCDBC5-B0BF-4C12-9009-B0C0C6F0DAD7}"/>
  <bookViews>
    <workbookView minimized="1" xWindow="4176" yWindow="1944" windowWidth="17280" windowHeight="8880" tabRatio="351" firstSheet="1" activeTab="4" xr2:uid="{00000000-000D-0000-FFFF-FFFF00000000}"/>
  </bookViews>
  <sheets>
    <sheet name="الارشادات" sheetId="3" r:id="rId1"/>
    <sheet name="Table1" sheetId="5" r:id="rId2"/>
    <sheet name="البيانات" sheetId="1" r:id="rId3"/>
    <sheet name="Pivot Table" sheetId="17" r:id="rId4"/>
    <sheet name="Dashboard" sheetId="18" r:id="rId5"/>
  </sheets>
  <definedNames>
    <definedName name="_xlnm._FilterDatabase" localSheetId="2" hidden="1">البيانات!$A$1:$U$113</definedName>
    <definedName name="ExternalData_1" localSheetId="1" hidden="1">Table1!$A$1:$F$127</definedName>
    <definedName name="Slicer_الحالة">#N/A</definedName>
    <definedName name="Slicer_المحافظة">#N/A</definedName>
    <definedName name="Slicer_منصة_البيع">#N/A</definedName>
    <definedName name="Slicer_نوع_العميل">#N/A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N2" i="1"/>
  <c r="N3" i="1"/>
  <c r="N4" i="1"/>
  <c r="N5" i="1"/>
  <c r="N6" i="1"/>
  <c r="N7" i="1"/>
  <c r="N8" i="1"/>
  <c r="N9" i="1"/>
  <c r="N10" i="1"/>
  <c r="P10" i="1" s="1"/>
  <c r="N11" i="1"/>
  <c r="N12" i="1"/>
  <c r="N13" i="1"/>
  <c r="N14" i="1"/>
  <c r="N15" i="1"/>
  <c r="N16" i="1"/>
  <c r="N17" i="1"/>
  <c r="N18" i="1"/>
  <c r="N19" i="1"/>
  <c r="N20" i="1"/>
  <c r="N21" i="1"/>
  <c r="N22" i="1"/>
  <c r="P22" i="1" s="1"/>
  <c r="N23" i="1"/>
  <c r="N24" i="1"/>
  <c r="N25" i="1"/>
  <c r="N26" i="1"/>
  <c r="N27" i="1"/>
  <c r="N28" i="1"/>
  <c r="N29" i="1"/>
  <c r="N30" i="1"/>
  <c r="N31" i="1"/>
  <c r="N32" i="1"/>
  <c r="N33" i="1"/>
  <c r="N34" i="1"/>
  <c r="P34" i="1" s="1"/>
  <c r="N35" i="1"/>
  <c r="N36" i="1"/>
  <c r="N37" i="1"/>
  <c r="N38" i="1"/>
  <c r="P38" i="1" s="1"/>
  <c r="N39" i="1"/>
  <c r="N40" i="1"/>
  <c r="N41" i="1"/>
  <c r="N42" i="1"/>
  <c r="N43" i="1"/>
  <c r="N44" i="1"/>
  <c r="N45" i="1"/>
  <c r="N46" i="1"/>
  <c r="P46" i="1" s="1"/>
  <c r="N47" i="1"/>
  <c r="N48" i="1"/>
  <c r="N49" i="1"/>
  <c r="N50" i="1"/>
  <c r="N51" i="1"/>
  <c r="N52" i="1"/>
  <c r="N53" i="1"/>
  <c r="N54" i="1"/>
  <c r="N55" i="1"/>
  <c r="N56" i="1"/>
  <c r="N57" i="1"/>
  <c r="N58" i="1"/>
  <c r="P58" i="1" s="1"/>
  <c r="N59" i="1"/>
  <c r="N60" i="1"/>
  <c r="N61" i="1"/>
  <c r="N62" i="1"/>
  <c r="N63" i="1"/>
  <c r="N64" i="1"/>
  <c r="N65" i="1"/>
  <c r="N66" i="1"/>
  <c r="N67" i="1"/>
  <c r="N68" i="1"/>
  <c r="N69" i="1"/>
  <c r="N70" i="1"/>
  <c r="P70" i="1" s="1"/>
  <c r="N71" i="1"/>
  <c r="N72" i="1"/>
  <c r="N73" i="1"/>
  <c r="N74" i="1"/>
  <c r="N75" i="1"/>
  <c r="N76" i="1"/>
  <c r="N77" i="1"/>
  <c r="N78" i="1"/>
  <c r="N79" i="1"/>
  <c r="N80" i="1"/>
  <c r="N81" i="1"/>
  <c r="N82" i="1"/>
  <c r="P82" i="1" s="1"/>
  <c r="N83" i="1"/>
  <c r="N84" i="1"/>
  <c r="N85" i="1"/>
  <c r="N86" i="1"/>
  <c r="P86" i="1" s="1"/>
  <c r="N87" i="1"/>
  <c r="N88" i="1"/>
  <c r="N89" i="1"/>
  <c r="N90" i="1"/>
  <c r="N91" i="1"/>
  <c r="N92" i="1"/>
  <c r="N93" i="1"/>
  <c r="N94" i="1"/>
  <c r="P94" i="1" s="1"/>
  <c r="N95" i="1"/>
  <c r="N96" i="1"/>
  <c r="N97" i="1"/>
  <c r="N98" i="1"/>
  <c r="N99" i="1"/>
  <c r="N100" i="1"/>
  <c r="N101" i="1"/>
  <c r="N102" i="1"/>
  <c r="N103" i="1"/>
  <c r="N104" i="1"/>
  <c r="N105" i="1"/>
  <c r="N106" i="1"/>
  <c r="P106" i="1" s="1"/>
  <c r="N107" i="1"/>
  <c r="N108" i="1"/>
  <c r="N109" i="1"/>
  <c r="N110" i="1"/>
  <c r="N111" i="1"/>
  <c r="N112" i="1"/>
  <c r="N113" i="1"/>
  <c r="B23" i="1"/>
  <c r="B2" i="1"/>
  <c r="B3" i="1"/>
  <c r="B4" i="1"/>
  <c r="B5" i="1"/>
  <c r="B6" i="1"/>
  <c r="B7" i="1"/>
  <c r="B8" i="1"/>
  <c r="B9" i="1"/>
  <c r="B10" i="1"/>
  <c r="B11" i="1"/>
  <c r="B12" i="1"/>
  <c r="B13" i="1"/>
  <c r="B14" i="1"/>
  <c r="B15" i="1"/>
  <c r="B16" i="1"/>
  <c r="B17" i="1"/>
  <c r="B18" i="1"/>
  <c r="B19" i="1"/>
  <c r="B20" i="1"/>
  <c r="B21" i="1"/>
  <c r="B22"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AN2" i="17"/>
  <c r="G2" i="17"/>
  <c r="D2" i="17"/>
  <c r="A2" i="17"/>
  <c r="P102" i="1" l="1"/>
  <c r="P90" i="1"/>
  <c r="P78" i="1"/>
  <c r="P66" i="1"/>
  <c r="P54" i="1"/>
  <c r="P42" i="1"/>
  <c r="P30" i="1"/>
  <c r="P112" i="1"/>
  <c r="P89" i="1"/>
  <c r="P41" i="1"/>
  <c r="P107" i="1"/>
  <c r="P95" i="1"/>
  <c r="P83" i="1"/>
  <c r="P71" i="1"/>
  <c r="P59" i="1"/>
  <c r="P47" i="1"/>
  <c r="P35" i="1"/>
  <c r="P23" i="1"/>
  <c r="P11" i="1"/>
  <c r="P105" i="1"/>
  <c r="P93" i="1"/>
  <c r="P81" i="1"/>
  <c r="P69" i="1"/>
  <c r="P57" i="1"/>
  <c r="P45" i="1"/>
  <c r="P33" i="1"/>
  <c r="P21" i="1"/>
  <c r="P9" i="1"/>
  <c r="P104" i="1"/>
  <c r="P92" i="1"/>
  <c r="P80" i="1"/>
  <c r="P68" i="1"/>
  <c r="P56" i="1"/>
  <c r="P44" i="1"/>
  <c r="P32" i="1"/>
  <c r="P20" i="1"/>
  <c r="P8" i="1"/>
  <c r="P18" i="1"/>
  <c r="P6" i="1"/>
  <c r="P113" i="1"/>
  <c r="P101" i="1"/>
  <c r="P77" i="1"/>
  <c r="P65" i="1"/>
  <c r="P53" i="1"/>
  <c r="P29" i="1"/>
  <c r="P17" i="1"/>
  <c r="P5" i="1"/>
  <c r="P100" i="1"/>
  <c r="P88" i="1"/>
  <c r="P76" i="1"/>
  <c r="P64" i="1"/>
  <c r="P52" i="1"/>
  <c r="P40" i="1"/>
  <c r="P28" i="1"/>
  <c r="P16" i="1"/>
  <c r="P4" i="1"/>
  <c r="P111" i="1"/>
  <c r="P99" i="1"/>
  <c r="P87" i="1"/>
  <c r="P75" i="1"/>
  <c r="P63" i="1"/>
  <c r="P51" i="1"/>
  <c r="P39" i="1"/>
  <c r="P27" i="1"/>
  <c r="P15" i="1"/>
  <c r="P3" i="1"/>
  <c r="P110" i="1"/>
  <c r="P98" i="1"/>
  <c r="P74" i="1"/>
  <c r="P62" i="1"/>
  <c r="P50" i="1"/>
  <c r="P26" i="1"/>
  <c r="P14" i="1"/>
  <c r="P2" i="1"/>
  <c r="P109" i="1"/>
  <c r="P97" i="1"/>
  <c r="P85" i="1"/>
  <c r="P73" i="1"/>
  <c r="P61" i="1"/>
  <c r="P49" i="1"/>
  <c r="P37" i="1"/>
  <c r="P25" i="1"/>
  <c r="P13" i="1"/>
  <c r="P108" i="1"/>
  <c r="P96" i="1"/>
  <c r="P84" i="1"/>
  <c r="P72" i="1"/>
  <c r="P60" i="1"/>
  <c r="P48" i="1"/>
  <c r="P36" i="1"/>
  <c r="P24" i="1"/>
  <c r="P12" i="1"/>
  <c r="P103" i="1"/>
  <c r="P91" i="1"/>
  <c r="P79" i="1"/>
  <c r="P67" i="1"/>
  <c r="P55" i="1"/>
  <c r="P43" i="1"/>
  <c r="P31" i="1"/>
  <c r="P19" i="1"/>
  <c r="P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8362AC-5250-4E2F-96AD-0BE6989BDDDB}"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2" xr16:uid="{9FB7CB03-5CAB-4CD7-8B3A-529ACDD5E2AA}"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3" xr16:uid="{03A4E8C4-11FB-4556-90C0-3F0F70D0D9F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<sst xmlns="http://schemas.openxmlformats.org/spreadsheetml/2006/main" count="1720" uniqueCount="310">
  <si>
    <t>أسم العميل</t>
  </si>
  <si>
    <t>العنوان</t>
  </si>
  <si>
    <t>المنتج</t>
  </si>
  <si>
    <t>تاريخ التسليم</t>
  </si>
  <si>
    <t>المسئول عن التسليم</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</si>
  <si>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</si>
  <si>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</si>
  <si>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</si>
  <si>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</si>
  <si>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</si>
  <si>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</si>
  <si>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</si>
  <si>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</si>
  <si>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</si>
  <si>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</si>
  <si>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محمود</t>
  </si>
  <si>
    <t>سموحه - اسكندريه</t>
  </si>
  <si>
    <t xml:space="preserve">سرير منطبق اسود والقماش اسود </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</si>
  <si>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</si>
  <si>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</si>
  <si>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</si>
  <si>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</si>
  <si>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</si>
  <si>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</si>
  <si>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</si>
  <si>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</si>
  <si>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</si>
  <si>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</si>
  <si>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</si>
  <si>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</si>
  <si>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التجمع الخامس</t>
  </si>
  <si>
    <t>فيس بوك</t>
  </si>
  <si>
    <t xml:space="preserve">تم تسليم العميل عن طريق شركه شحن </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</si>
  <si>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</si>
  <si>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</si>
  <si>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</si>
  <si>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</si>
  <si>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</si>
  <si>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</si>
  <si>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</si>
  <si>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</si>
  <si>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</si>
  <si>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</si>
  <si>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</si>
  <si>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</si>
  <si>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</si>
  <si>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</si>
  <si>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</si>
  <si>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</si>
  <si>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</si>
  <si>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</si>
  <si>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</si>
  <si>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</si>
  <si>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</si>
  <si>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</si>
  <si>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</si>
  <si>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</si>
  <si>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</si>
  <si>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</si>
  <si>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</si>
  <si>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</si>
  <si>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</si>
  <si>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</si>
  <si>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</si>
  <si>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</si>
  <si>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</si>
  <si>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</si>
  <si>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</si>
  <si>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</si>
  <si>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</si>
  <si>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</si>
  <si>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</si>
  <si>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</si>
  <si>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</si>
  <si>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</si>
  <si>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</si>
  <si>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</si>
  <si>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</si>
  <si>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</si>
  <si>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</si>
  <si>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</si>
  <si>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</si>
  <si>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</si>
  <si>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</si>
  <si>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</si>
  <si>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</si>
  <si>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</si>
  <si>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</si>
  <si>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</si>
  <si>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</si>
  <si>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</si>
  <si>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</si>
  <si>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</si>
  <si>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</si>
  <si>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</si>
  <si>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</si>
  <si>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</si>
  <si>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</si>
  <si>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</si>
  <si>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</si>
  <si>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</si>
  <si>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</si>
  <si>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</si>
  <si>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</si>
  <si>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ملغى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</si>
  <si>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</si>
  <si>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</si>
  <si>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</si>
  <si>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</si>
  <si>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</si>
  <si>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</si>
  <si>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</si>
  <si>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</si>
  <si>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</si>
  <si>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</si>
  <si>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</si>
  <si>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</si>
  <si>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</si>
  <si>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</si>
  <si>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</si>
  <si>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</si>
  <si>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</si>
  <si>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</si>
  <si>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</si>
  <si>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</si>
  <si>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</si>
  <si>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</si>
  <si>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</si>
  <si>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</si>
  <si>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</si>
  <si>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</si>
  <si>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</si>
  <si>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</si>
  <si>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</si>
  <si>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</si>
  <si>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</si>
  <si>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</si>
  <si>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</si>
  <si>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</si>
  <si>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</si>
  <si>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يوسف شناوى</t>
  </si>
  <si>
    <t xml:space="preserve">الابراهيميه . الإسكندرية </t>
  </si>
  <si>
    <t xml:space="preserve">ترابيزه قهوه علويه برف سحاب </t>
  </si>
  <si>
    <t>سرير</t>
  </si>
  <si>
    <t>منطبق</t>
  </si>
  <si>
    <t>نوفال</t>
  </si>
  <si>
    <t>كينج</t>
  </si>
  <si>
    <t>كيفنج</t>
  </si>
  <si>
    <t>اسبانى</t>
  </si>
  <si>
    <t>ركنة</t>
  </si>
  <si>
    <t>سحارة</t>
  </si>
  <si>
    <t>ركنة بسرير</t>
  </si>
  <si>
    <t>كنبة</t>
  </si>
  <si>
    <t>كرسى</t>
  </si>
  <si>
    <t>4*1</t>
  </si>
  <si>
    <t>دورين</t>
  </si>
  <si>
    <t>ابيض</t>
  </si>
  <si>
    <t>اسود</t>
  </si>
  <si>
    <t>ارفيل</t>
  </si>
  <si>
    <t>ازرق</t>
  </si>
  <si>
    <t>ثلاثه ادوار</t>
  </si>
  <si>
    <t>رمادى</t>
  </si>
  <si>
    <t>بنفسجى</t>
  </si>
  <si>
    <t>الاسم</t>
  </si>
  <si>
    <t>المقاس</t>
  </si>
  <si>
    <t>دهبي</t>
  </si>
  <si>
    <t>فورجينا</t>
  </si>
  <si>
    <t>كورين</t>
  </si>
  <si>
    <t>mohannad</t>
  </si>
  <si>
    <t>EL-Maadi</t>
  </si>
  <si>
    <t>Mohamed Ayman</t>
  </si>
  <si>
    <t>Madinet Badr</t>
  </si>
  <si>
    <t>بمكتبة</t>
  </si>
  <si>
    <t>رف سحاب</t>
  </si>
  <si>
    <t>الحالة</t>
  </si>
  <si>
    <t>فشل التسليم</t>
  </si>
  <si>
    <t>اسامه</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</si>
  <si>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</si>
  <si>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</si>
  <si>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</si>
  <si>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</si>
  <si>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</si>
  <si>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</si>
  <si>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</si>
  <si>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الحج محمد السويس</t>
  </si>
  <si>
    <t xml:space="preserve">السويس </t>
  </si>
  <si>
    <t>السويس</t>
  </si>
  <si>
    <t>ملون</t>
  </si>
  <si>
    <t>فنيسيا</t>
  </si>
  <si>
    <t>شيزلونج</t>
  </si>
  <si>
    <t xml:space="preserve">نبيتى </t>
  </si>
  <si>
    <t>عمرو الأسود</t>
  </si>
  <si>
    <t>الزمالك</t>
  </si>
  <si>
    <t>مخزن شيك هومز</t>
  </si>
  <si>
    <t xml:space="preserve">تم التسليم بمعرفه الحج سيد </t>
  </si>
  <si>
    <t xml:space="preserve">أكتوبر </t>
  </si>
  <si>
    <t>التجمع</t>
  </si>
  <si>
    <t>keira</t>
  </si>
  <si>
    <t>بينك</t>
  </si>
  <si>
    <t>tarek</t>
  </si>
  <si>
    <t>reem</t>
  </si>
  <si>
    <t>البطاش اسكندريه</t>
  </si>
  <si>
    <t>هشام سامى</t>
  </si>
  <si>
    <t>41 كومبوند جولدن جستس الدور 4 شقه 4</t>
  </si>
  <si>
    <t>بلحه</t>
  </si>
  <si>
    <t>فانتستيك</t>
  </si>
  <si>
    <t>الوان</t>
  </si>
  <si>
    <t>المعرض مدينه نصر</t>
  </si>
  <si>
    <t>فاطمه محمد</t>
  </si>
  <si>
    <t>أكتوبر الجيزه</t>
  </si>
  <si>
    <t>الشيخ زايد اكتوبر</t>
  </si>
  <si>
    <t>بولا هومزمارت</t>
  </si>
  <si>
    <t xml:space="preserve">محمد شكرى </t>
  </si>
  <si>
    <t>ارينا</t>
  </si>
  <si>
    <t>منزلى</t>
  </si>
  <si>
    <t>مدينتى</t>
  </si>
  <si>
    <t>حماده</t>
  </si>
  <si>
    <t>صفاء عبد الباقي</t>
  </si>
  <si>
    <t>المخزن</t>
  </si>
  <si>
    <t xml:space="preserve">رندا العامرى </t>
  </si>
  <si>
    <t xml:space="preserve">كيمت </t>
  </si>
  <si>
    <t>٦ اكتوبر الجيزه</t>
  </si>
  <si>
    <t xml:space="preserve">فردى </t>
  </si>
  <si>
    <t>امريكى</t>
  </si>
  <si>
    <t>محمد حمدى</t>
  </si>
  <si>
    <t xml:space="preserve">كوين </t>
  </si>
  <si>
    <t xml:space="preserve">بافلى هانى </t>
  </si>
  <si>
    <t xml:space="preserve">شبرا </t>
  </si>
  <si>
    <t>t1</t>
  </si>
  <si>
    <t xml:space="preserve">تم التسليم م محمد </t>
  </si>
  <si>
    <t>رنا ميلاد</t>
  </si>
  <si>
    <t xml:space="preserve">جليم الإسكندرية </t>
  </si>
  <si>
    <t>مكتبه</t>
  </si>
  <si>
    <t>محمد ناجى</t>
  </si>
  <si>
    <t>ميكانزم</t>
  </si>
  <si>
    <t>احمد عبد الستار</t>
  </si>
  <si>
    <t>المندره اسكندريه</t>
  </si>
  <si>
    <t xml:space="preserve">نور </t>
  </si>
  <si>
    <t>نور</t>
  </si>
  <si>
    <t>تامر</t>
  </si>
  <si>
    <t>هناء اسامه</t>
  </si>
  <si>
    <t>القطاميه</t>
  </si>
  <si>
    <t xml:space="preserve">محمد عادل </t>
  </si>
  <si>
    <t>مريم عنان</t>
  </si>
  <si>
    <t xml:space="preserve">اب تاون كايرو التجمع </t>
  </si>
  <si>
    <t xml:space="preserve">هبه عطيه </t>
  </si>
  <si>
    <t>حمدى ذكرى</t>
  </si>
  <si>
    <t>العميل رفض الاستلام</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</si>
  <si>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</si>
  <si>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</si>
  <si>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</si>
  <si>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</si>
  <si>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</si>
  <si>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عدد المنتجات حسب النوع/المقاس/اللون (Product Breakdown).</t>
  </si>
  <si>
    <t>نسبة الطلبات المسلمة في الموعد (On-time Delivery Rate).</t>
  </si>
  <si>
    <t>نسبة الطلبات  الملغاة (Delivery Status Breakdown)</t>
  </si>
  <si>
    <t>الطلبات حسب المنطقة (Orders by Area).</t>
  </si>
  <si>
    <t>مستندا الي  KPIS الأساسية :</t>
  </si>
  <si>
    <t xml:space="preserve"> قم بتصميم Dashboard</t>
  </si>
  <si>
    <t>الصنف</t>
  </si>
  <si>
    <t>نوع الصنف</t>
  </si>
  <si>
    <t xml:space="preserve">نوع العميل </t>
  </si>
  <si>
    <t>المحافظة</t>
  </si>
  <si>
    <t>القاهرة</t>
  </si>
  <si>
    <t>القليوبية</t>
  </si>
  <si>
    <t>الجيزة</t>
  </si>
  <si>
    <t>غير معروف</t>
  </si>
  <si>
    <t>الإسكندرية</t>
  </si>
  <si>
    <t>مطروح</t>
  </si>
  <si>
    <t>البحر الأحمر</t>
  </si>
  <si>
    <t>العين السخنة</t>
  </si>
  <si>
    <t>أسيوط</t>
  </si>
  <si>
    <t>المنوفية</t>
  </si>
  <si>
    <t>تربيزة</t>
  </si>
  <si>
    <t>كاش</t>
  </si>
  <si>
    <t>اللون</t>
  </si>
  <si>
    <t>0</t>
  </si>
  <si>
    <t>90</t>
  </si>
  <si>
    <t>ترابيزه</t>
  </si>
  <si>
    <t>كنبه</t>
  </si>
  <si>
    <t>سحاره</t>
  </si>
  <si>
    <t>80</t>
  </si>
  <si>
    <t>120</t>
  </si>
  <si>
    <t>100</t>
  </si>
  <si>
    <t>كوين</t>
  </si>
  <si>
    <t>140</t>
  </si>
  <si>
    <t>3ادوار</t>
  </si>
  <si>
    <t xml:space="preserve">الاسم </t>
  </si>
  <si>
    <t xml:space="preserve">اللون </t>
  </si>
  <si>
    <t>مدة التسليم (الهدف)</t>
  </si>
  <si>
    <t>مدة التسليم (الفعلي)</t>
  </si>
  <si>
    <t>دوران</t>
  </si>
  <si>
    <t xml:space="preserve">سرير كيفنجدورينمقاس ٨٠ ابيض </t>
  </si>
  <si>
    <t xml:space="preserve">سرير كيفنجدورينمقاس ١٢٠ رمادى </t>
  </si>
  <si>
    <t xml:space="preserve">سرير فردى  ابيض </t>
  </si>
  <si>
    <t>سرير فردى  خشب موسكى الحديد ابيض مقاس ٨٠</t>
  </si>
  <si>
    <t>٤سرير فردى  خشب موسكى الحديد ابيض مقاس ٨٠</t>
  </si>
  <si>
    <t xml:space="preserve">Sum of سعر البيع </t>
  </si>
  <si>
    <t>Total Sales</t>
  </si>
  <si>
    <t>Average Selling Price</t>
  </si>
  <si>
    <t>Row Labels</t>
  </si>
  <si>
    <t>Grand Total</t>
  </si>
  <si>
    <t>Total Orders</t>
  </si>
  <si>
    <t>Count of نوع الصنف</t>
  </si>
  <si>
    <t xml:space="preserve"> في الموعد </t>
  </si>
  <si>
    <t xml:space="preserve">Count of  في الموعد </t>
  </si>
  <si>
    <t>Later</t>
  </si>
  <si>
    <t>On time</t>
  </si>
  <si>
    <t>Count of الحالة</t>
  </si>
  <si>
    <t>Average of مدة التسليم (الفعلي)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</si>
</sst>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quot;$&quot;#,##0"/>
  </numFmts>
  <fonts count="13" x14ac:knownFonts="1">
    <font>
      <sz val="11"/>
      <color theme="1"/>
      <name val="Calibri"/>
      <family val="2"/>
      <scheme val="minor"/>
    </font>
    <font>
      <b/>
      <sz val="12"/>
      <color theme="1"/>
      <name val="Calibri"/>
      <family val="2"/>
      <scheme val="minor"/>
    </font>
    <font>
      <b/>
      <sz val="11"/>
      <color theme="1"/>
      <name val="Calibri"/>
      <family val="2"/>
      <scheme val="minor"/>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8"/>
      <name val="Calibri"/>
      <family val="2"/>
      <scheme val="minor"/>
    </font>
    <font>
      <sz val="11"/>
      <color theme="1"/>
      <name val="Calibri"/>
      <family val="2"/>
      <scheme val="minor"/>
    </font>
    <font>
      <sz val="11"/>
      <color rgb="FFFFFF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499984740745262"/>
        <bgColor indexed="64"/>
      </patternFill>
    </fill>
    <fill>
      <patternFill patternType="solid">
        <fgColor theme="7"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5"/>
      </left>
      <right/>
      <top style="thin">
        <color indexed="65"/>
      </top>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11" fillId="0" borderId="0" applyFont="0" applyFill="0" applyBorder="0" applyAlignment="0" applyProtection="0"/>
  </cellStyleXfs>
  <cellXfs count="42">
    <xf numFmtId="0" fontId="0" fillId="0" borderId="0" xfId="0"/>
    <xf numFmtId="0" fontId="0" fillId="0" borderId="0" xfId="0" applyAlignment="1">
      <alignment horizontal="right" vertical="center"/>
    </xf>
    <xf numFmtId="0" fontId="0" fillId="0" borderId="1" xfId="0" applyBorder="1" applyAlignment="1">
      <alignment horizontal="right" vertical="center"/>
    </xf>
    <xf numFmtId="2" fontId="0" fillId="0" borderId="1" xfId="0" applyNumberFormat="1" applyBorder="1" applyAlignment="1">
      <alignment horizontal="right" vertical="center"/>
    </xf>
    <xf numFmtId="2" fontId="0" fillId="0" borderId="0" xfId="0" applyNumberFormat="1" applyAlignment="1">
      <alignment horizontal="right" vertical="center"/>
    </xf>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horizontal="right" indent="2"/>
    </xf>
    <xf numFmtId="14" fontId="0" fillId="0" borderId="0" xfId="0" applyNumberFormat="1"/>
    <xf numFmtId="14" fontId="0" fillId="0" borderId="1" xfId="0" applyNumberFormat="1" applyBorder="1" applyAlignment="1">
      <alignment horizontal="right" vertical="center"/>
    </xf>
    <xf numFmtId="14" fontId="0" fillId="0" borderId="0" xfId="0" applyNumberFormat="1" applyAlignment="1">
      <alignment horizontal="right" vertical="center"/>
    </xf>
    <xf numFmtId="2" fontId="0" fillId="0" borderId="0" xfId="0" applyNumberFormat="1"/>
    <xf numFmtId="1" fontId="0" fillId="0" borderId="0" xfId="0" applyNumberFormat="1"/>
    <xf numFmtId="0" fontId="0" fillId="0" borderId="2" xfId="0" applyBorder="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1" fontId="2" fillId="0" borderId="3" xfId="0" applyNumberFormat="1" applyFont="1" applyBorder="1"/>
    <xf numFmtId="0" fontId="0" fillId="3" borderId="0" xfId="0" applyFill="1"/>
    <xf numFmtId="0" fontId="0" fillId="4" borderId="0" xfId="0" applyFill="1"/>
    <xf numFmtId="0" fontId="12" fillId="2" borderId="0" xfId="0" applyFont="1" applyFill="1"/>
    <xf numFmtId="1" fontId="12" fillId="2" borderId="0" xfId="0" applyNumberFormat="1" applyFont="1" applyFill="1"/>
    <xf numFmtId="164" fontId="0" fillId="0" borderId="0" xfId="1" applyNumberFormat="1" applyFont="1"/>
    <xf numFmtId="1" fontId="0" fillId="0" borderId="0" xfId="1" applyNumberFormat="1"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NumberFormat="1"/>
  </cellXfs>
  <cellStyles count="2">
    <cellStyle name="Comma" xfId="1" builtinId="3"/>
    <cellStyle name="Normal" xfId="0" builtinId="0"/>
  </cellStyles>
  <dxfs count="59">
    <dxf>
      <numFmt numFmtId="13" formatCode="0%"/>
    </dxf>
    <dxf>
      <numFmt numFmtId="1" formatCode="0"/>
    </dxf>
    <dxf>
      <numFmt numFmtId="1"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1" formatCode="0"/>
    </dxf>
    <dxf>
      <numFmt numFmtId="13" formatCode="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 formatCode="0"/>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5B9BD5"/>
        </patternFill>
      </fill>
    </dxf>
    <dxf>
      <font>
        <strike val="0"/>
        <sz val="12"/>
        <color theme="0"/>
      </font>
      <fill>
        <patternFill>
          <bgColor theme="4" tint="-0.499984740745262"/>
        </patternFill>
      </fill>
      <border diagonalUp="0" diagonalDown="0">
        <left/>
        <right/>
        <top/>
        <bottom/>
        <vertical/>
        <horizontal/>
      </border>
    </dxf>
    <dxf>
      <fill>
        <patternFill>
          <bgColor theme="4"/>
        </patternFill>
      </fill>
    </dxf>
    <dxf>
      <fill>
        <patternFill>
          <bgColor theme="4"/>
        </patternFill>
      </fill>
    </dxf>
    <dxf>
      <fill>
        <patternFill>
          <bgColor theme="4"/>
        </patternFill>
      </fill>
    </dxf>
    <dxf>
      <fill>
        <patternFill>
          <bgColor theme="4"/>
        </patternFill>
      </fill>
    </dxf>
  </dxfs>
  <tableStyles count="6" defaultTableStyle="TableStyleMedium2" defaultPivotStyle="PivotStyleLight16">
    <tableStyle name="Invisible" pivot="0" table="0" count="0" xr9:uid="{AA73528B-8D85-432A-9172-AA70B5E8C669}"/>
    <tableStyle name="Slicer Style 1" pivot="0" table="0" count="1" xr9:uid="{3418D107-DCEB-4478-8181-640C7F8E9371}">
      <tableStyleElement type="headerRow" dxfId="58"/>
    </tableStyle>
    <tableStyle name="Slicer Style 2" pivot="0" table="0" count="0" xr9:uid="{C0FFF9F4-6A1E-4F8A-8714-67249AD1217C}"/>
    <tableStyle name="Slicer Style 3" pivot="0" table="0" count="3" xr9:uid="{85FCABA5-937F-469E-9397-86BB917316E3}">
      <tableStyleElement type="headerRow" dxfId="57"/>
    </tableStyle>
    <tableStyle name="Slicer Style 4" pivot="0" table="0" count="8" xr9:uid="{69B5FE14-266C-4F8B-B4D5-6EA9DE00B98F}">
      <tableStyleElement type="wholeTable" dxfId="56"/>
      <tableStyleElement type="headerRow" dxfId="55"/>
    </tableStyle>
    <tableStyle name="Slicer Style 5" pivot="0" table="0" count="6" xr9:uid="{6B4C0D6F-527F-462F-A79E-9B0941BFCA65}">
      <tableStyleElement type="wholeTable" dxfId="54"/>
      <tableStyleElement type="headerRow" dxfId="53"/>
    </tableStyle>
  </tableStyles>
  <colors>
    <mruColors>
      <color rgb="FF680000"/>
      <color rgb="FF860000"/>
      <color rgb="FF3D4345"/>
      <color rgb="FFE7E6E6"/>
      <color rgb="FF9CC2E5"/>
      <color rgb="FF5B9BD5"/>
      <color rgb="FF6C0000"/>
      <color rgb="FFD9D9D9"/>
      <color rgb="FFBFB8CA"/>
    </mruColors>
  </colors>
  <extLst>
    <ext xmlns:x14="http://schemas.microsoft.com/office/spreadsheetml/2009/9/main" uri="{46F421CA-312F-682f-3DD2-61675219B42D}">
      <x14:dxfs count="12">
        <dxf>
          <fill>
            <patternFill>
              <bgColor rgb="FFD9D9D9"/>
            </patternFill>
          </fill>
        </dxf>
        <dxf>
          <fill>
            <patternFill>
              <bgColor rgb="FF9CC2E5"/>
            </patternFill>
          </fill>
        </dxf>
        <dxf>
          <fill>
            <patternFill>
              <bgColor rgb="FF5B9BD5"/>
            </patternFill>
          </fill>
        </dxf>
        <dxf>
          <fill>
            <patternFill>
              <bgColor theme="4" tint="-0.499984740745262"/>
            </patternFill>
          </fill>
        </dxf>
        <dxf>
          <fill>
            <patternFill>
              <bgColor theme="7" tint="0.79998168889431442"/>
            </patternFill>
          </fill>
        </dxf>
        <dxf>
          <fill>
            <patternFill>
              <bgColor theme="4" tint="0.59996337778862885"/>
            </patternFill>
          </fill>
        </dxf>
        <dxf>
          <fill>
            <patternFill>
              <bgColor theme="0" tint="-0.34998626667073579"/>
            </patternFill>
          </fill>
        </dxf>
        <dxf>
          <fill>
            <patternFill>
              <bgColor rgb="FF860000"/>
            </patternFill>
          </fill>
        </dxf>
        <dxf>
          <fill>
            <patternFill patternType="solid">
              <fgColor auto="1"/>
              <bgColor rgb="FF7030A0"/>
            </patternFill>
          </fill>
        </dxf>
        <dxf>
          <fill>
            <patternFill>
              <bgColor theme="8" tint="-0.24994659260841701"/>
            </patternFill>
          </fill>
        </dxf>
        <dxf>
          <fill>
            <patternFill>
              <bgColor theme="3" tint="0.79998168889431442"/>
            </patternFill>
          </fill>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11"/>
            <x14:slicerStyleElement type="selectedItemWithData" dxfId="10"/>
          </x14:slicerStyleElements>
        </x14:slicerStyle>
        <x14:slicerStyle name="Slicer Style 4">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SelectedItemWithData" dxfId="5"/>
            <x14:slicerStyleElement type="hoveredSelectedItemWithNoData" dxfId="4"/>
          </x14:slicerStyleElements>
        </x14:slicerStyle>
        <x14:slicerStyle name="Slicer Style 5">
          <x14:slicerStyleElements>
            <x14:slicerStyleElement type="unselectedItemWithData" dxfId="3"/>
            <x14:slicerStyleElement type="selectedItemWithData" dxfId="2"/>
            <x14:slicerStyleElement type="hoveredSelectedItemWith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[شيت الطلبات والتسليمات (مسيو)Dashborad 1.xlsx]Pivot Table!PivotTable5</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2393249230942908"/>
          <c:w val="0.82248140857392826"/>
          <c:h val="0.57622995042286385"/>
        </c:manualLayout>
      </c:layout>
      <c:bar3DChart>
        <c:barDir val="col"/>
        <c:grouping val="clustered"/>
        <c:varyColors val="0"/>
        <c:ser>
          <c:idx val="0"/>
          <c:order val="0"/>
          <c:tx>
            <c:strRef>
              <c:f>'Pivot Table'!$N$1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Table'!$M$2:$M$5</c:f>
              <c:strCache>
                <c:ptCount val="3"/>
                <c:pt idx="0">
                  <c:v>سرير</c:v>
                </c:pt>
                <c:pt idx="1">
                  <c:v>تربيزة</c:v>
                </c:pt>
                <c:pt idx="2">
                  <c:v>كنبة</c:v>
                </c:pt>
              </c:strCache>
            </c:strRef>
          </c:cat>
          <c:val>
            <c:numRef>
              <c:f>'Pivot Table'!$N$2:$N$5</c:f>
              <c:numCache>
                <c:formatCode>General</c:formatCode>
                <c:ptCount val="3"/>
                <c:pt idx="0">
                  <c:v>11</c:v>
                </c:pt>
                <c:pt idx="1">
                  <c:v>6</c:v>
                </c:pt>
                <c:pt idx="2">
                  <c:v>1</c:v>
                </c:pt>
              </c:numCache>
            </c:numRef>
          </c:val>
          <c:extLst>
            <c:ext xmlns:c16="http://schemas.microsoft.com/office/drawing/2014/chart" uri="{C3380CC4-5D6E-409C-BE32-E72D297353CC}">
              <c16:uniqueId val="{00000000-A9C4-4889-AEC6-8AB3662259A5}"/>
            </c:ext>
          </c:extLst>
        </c:ser>
        <c:dLbls>
          <c:showLegendKey val="0"/>
          <c:showVal val="1"/>
          <c:showCatName val="0"/>
          <c:showSerName val="0"/>
          <c:showPercent val="0"/>
          <c:showBubbleSize val="0"/>
        </c:dLbls>
        <c:gapWidth val="150"/>
        <c:shape val="box"/>
        <c:axId val="1399423968"/>
        <c:axId val="1399427328"/>
        <c:axId val="0"/>
      </c:bar3DChart>
      <c:catAx>
        <c:axId val="1399423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AS"/>
          </a:p>
        </c:txPr>
        <c:crossAx val="1399427328"/>
        <c:crosses val="autoZero"/>
        <c:auto val="1"/>
        <c:lblAlgn val="ctr"/>
        <c:lblOffset val="100"/>
        <c:noMultiLvlLbl val="0"/>
      </c:catAx>
      <c:valAx>
        <c:axId val="1399427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9942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[شيت الطلبات والتسليمات (مسيو)Dashborad 1.xlsx]Pivot Table!PivotTable7</c:name>
    <c:fmtId val="11"/>
  </c:pivotSource>
  <c:chart>
    <c:autoTitleDeleted val="1"/>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A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s>
    <c:plotArea>
      <c:layout/>
      <c:doughnutChart>
        <c:varyColors val="1"/>
        <c:ser>
          <c:idx val="0"/>
          <c:order val="0"/>
          <c:tx>
            <c:strRef>
              <c:f>'Pivot Table'!$Q$1</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076E-429C-BB33-6EF122FBEADB}"/>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076E-429C-BB33-6EF122FBEA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A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Table'!$P$2:$P$4</c:f>
              <c:strCache>
                <c:ptCount val="2"/>
                <c:pt idx="0">
                  <c:v>Later</c:v>
                </c:pt>
                <c:pt idx="1">
                  <c:v>On time</c:v>
                </c:pt>
              </c:strCache>
            </c:strRef>
          </c:cat>
          <c:val>
            <c:numRef>
              <c:f>'Pivot Table'!$Q$2:$Q$4</c:f>
              <c:numCache>
                <c:formatCode>0.00%</c:formatCode>
                <c:ptCount val="2"/>
                <c:pt idx="0">
                  <c:v>0.1111111111111111</c:v>
                </c:pt>
                <c:pt idx="1">
                  <c:v>0.88888888888888884</c:v>
                </c:pt>
              </c:numCache>
            </c:numRef>
          </c:val>
          <c:extLst>
            <c:ext xmlns:c16="http://schemas.microsoft.com/office/drawing/2014/chart" uri="{C3380CC4-5D6E-409C-BE32-E72D297353CC}">
              <c16:uniqueId val="{00000000-7506-4795-91ED-232CE304EC4B}"/>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[شيت الطلبات والتسليمات (مسيو)Dashborad 1.xlsx]Pivot Table!PivotTable9</c:name>
    <c:fmtId val="19"/>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486126734158242E-2"/>
          <c:y val="6.0373880786938845E-2"/>
          <c:w val="0.94761904761904758"/>
          <c:h val="0.80507016691473798"/>
        </c:manualLayout>
      </c:layout>
      <c:lineChart>
        <c:grouping val="standard"/>
        <c:varyColors val="0"/>
        <c:ser>
          <c:idx val="0"/>
          <c:order val="0"/>
          <c:tx>
            <c:strRef>
              <c:f>'Pivot Table'!$W$1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Table'!$V$2:$V$9</c:f>
              <c:strCache>
                <c:ptCount val="7"/>
                <c:pt idx="0">
                  <c:v>مطروح</c:v>
                </c:pt>
                <c:pt idx="1">
                  <c:v>القاهرة</c:v>
                </c:pt>
                <c:pt idx="2">
                  <c:v>العين السخنة</c:v>
                </c:pt>
                <c:pt idx="3">
                  <c:v>السويس</c:v>
                </c:pt>
                <c:pt idx="4">
                  <c:v>الجيزة</c:v>
                </c:pt>
                <c:pt idx="5">
                  <c:v>البحر الأحمر</c:v>
                </c:pt>
                <c:pt idx="6">
                  <c:v>الإسكندرية</c:v>
                </c:pt>
              </c:strCache>
            </c:strRef>
          </c:cat>
          <c:val>
            <c:numRef>
              <c:f>'Pivot Table'!$W$2:$W$9</c:f>
              <c:numCache>
                <c:formatCode>0%</c:formatCode>
                <c:ptCount val="7"/>
                <c:pt idx="0">
                  <c:v>0.12343219563759071</c:v>
                </c:pt>
                <c:pt idx="1">
                  <c:v>0.46784095298111522</c:v>
                </c:pt>
                <c:pt idx="2">
                  <c:v>4.7765942308865085E-2</c:v>
                </c:pt>
                <c:pt idx="3">
                  <c:v>4.5885593478746975E-2</c:v>
                </c:pt>
                <c:pt idx="4">
                  <c:v>0.12752830687292907</c:v>
                </c:pt>
                <c:pt idx="5">
                  <c:v>0.11179944301018438</c:v>
                </c:pt>
                <c:pt idx="6">
                  <c:v>7.5747565710568579E-2</c:v>
                </c:pt>
              </c:numCache>
            </c:numRef>
          </c:val>
          <c:smooth val="0"/>
          <c:extLst>
            <c:ext xmlns:c16="http://schemas.microsoft.com/office/drawing/2014/chart" uri="{C3380CC4-5D6E-409C-BE32-E72D297353CC}">
              <c16:uniqueId val="{00000000-EDB0-41D8-A64A-C16BCFCB433F}"/>
            </c:ext>
          </c:extLst>
        </c:ser>
        <c:dLbls>
          <c:dLblPos val="ctr"/>
          <c:showLegendKey val="0"/>
          <c:showVal val="1"/>
          <c:showCatName val="0"/>
          <c:showSerName val="0"/>
          <c:showPercent val="0"/>
          <c:showBubbleSize val="0"/>
        </c:dLbls>
        <c:marker val="1"/>
        <c:smooth val="0"/>
        <c:axId val="1928686384"/>
        <c:axId val="1928688304"/>
      </c:lineChart>
      <c:catAx>
        <c:axId val="19286863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928688304"/>
        <c:crosses val="autoZero"/>
        <c:auto val="1"/>
        <c:lblAlgn val="ctr"/>
        <c:lblOffset val="100"/>
        <c:noMultiLvlLbl val="0"/>
      </c:catAx>
      <c:valAx>
        <c:axId val="1928688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92868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[شيت الطلبات والتسليمات (مسيو)Dashborad 1.xlsx]Pivot Table!PivotTable8</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77000"/>
            </a:schemeClr>
          </a:solidFill>
          <a:ln w="19050">
            <a:solidFill>
              <a:schemeClr val="lt1"/>
            </a:solidFill>
          </a:ln>
          <a:effectLst/>
        </c:spPr>
      </c:pivotFmt>
      <c:pivotFmt>
        <c:idx val="2"/>
        <c:spPr>
          <a:solidFill>
            <a:schemeClr val="accent1">
              <a:shade val="76000"/>
            </a:schemeClr>
          </a:solidFill>
          <a:ln w="19050">
            <a:solidFill>
              <a:schemeClr val="lt1"/>
            </a:solidFill>
          </a:ln>
          <a:effectLst/>
        </c:spPr>
      </c:pivotFmt>
    </c:pivotFmts>
    <c:plotArea>
      <c:layout/>
      <c:pieChart>
        <c:varyColors val="1"/>
        <c:ser>
          <c:idx val="0"/>
          <c:order val="0"/>
          <c:tx>
            <c:strRef>
              <c:f>'Pivot Table'!$T$1</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FF44-406E-9DD1-99164C43A7B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FF44-406E-9DD1-99164C43A7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Table'!$S$2:$S$3</c:f>
              <c:strCache>
                <c:ptCount val="1"/>
                <c:pt idx="0">
                  <c:v>فشل التسليم</c:v>
                </c:pt>
              </c:strCache>
            </c:strRef>
          </c:cat>
          <c:val>
            <c:numRef>
              <c:f>'Pivot Table'!$T$2:$T$3</c:f>
              <c:numCache>
                <c:formatCode>General</c:formatCode>
                <c:ptCount val="1"/>
                <c:pt idx="0">
                  <c:v>18</c:v>
                </c:pt>
              </c:numCache>
            </c:numRef>
          </c:val>
          <c:extLst>
            <c:ext xmlns:c16="http://schemas.microsoft.com/office/drawing/2014/chart" uri="{C3380CC4-5D6E-409C-BE32-E72D297353CC}">
              <c16:uniqueId val="{00000000-5F24-4E91-A561-07DF5141FD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[شيت الطلبات والتسليمات (مسيو)Dashborad 1.xlsx]Pivot Table!PivotTable10</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Table'!$Z$1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Table'!$Y$2:$Y$4</c:f>
              <c:strCache>
                <c:ptCount val="2"/>
                <c:pt idx="0">
                  <c:v>مسبق الدفع</c:v>
                </c:pt>
                <c:pt idx="1">
                  <c:v>كاش</c:v>
                </c:pt>
              </c:strCache>
            </c:strRef>
          </c:cat>
          <c:val>
            <c:numRef>
              <c:f>'Pivot Table'!$Z$2:$Z$4</c:f>
              <c:numCache>
                <c:formatCode>0%</c:formatCode>
                <c:ptCount val="2"/>
                <c:pt idx="0">
                  <c:v>0.64690098184701073</c:v>
                </c:pt>
                <c:pt idx="1">
                  <c:v>0.35309901815298922</c:v>
                </c:pt>
              </c:numCache>
            </c:numRef>
          </c:val>
          <c:extLst>
            <c:ext xmlns:c16="http://schemas.microsoft.com/office/drawing/2014/chart" uri="{C3380CC4-5D6E-409C-BE32-E72D297353CC}">
              <c16:uniqueId val="{00000000-22F8-4248-894B-1FA1CA51468A}"/>
            </c:ext>
          </c:extLst>
        </c:ser>
        <c:dLbls>
          <c:dLblPos val="outEnd"/>
          <c:showLegendKey val="0"/>
          <c:showVal val="1"/>
          <c:showCatName val="0"/>
          <c:showSerName val="0"/>
          <c:showPercent val="0"/>
          <c:showBubbleSize val="0"/>
        </c:dLbls>
        <c:gapWidth val="115"/>
        <c:overlap val="-20"/>
        <c:axId val="2005206496"/>
        <c:axId val="2005205056"/>
      </c:barChart>
      <c:catAx>
        <c:axId val="2005206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2005205056"/>
        <c:crosses val="autoZero"/>
        <c:auto val="1"/>
        <c:lblAlgn val="ctr"/>
        <c:lblOffset val="100"/>
        <c:noMultiLvlLbl val="0"/>
      </c:catAx>
      <c:valAx>
        <c:axId val="200520505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0520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[شيت الطلبات والتسليمات (مسيو)Dashborad 1.xlsx]Pivot Table!PivotTable4</c:name>
    <c:fmtId val="25"/>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4285978337215"/>
          <c:y val="0.15065913370998116"/>
          <c:w val="0.79562677904698531"/>
          <c:h val="0.45240224209261976"/>
        </c:manualLayout>
      </c:layout>
      <c:lineChart>
        <c:grouping val="stacked"/>
        <c:varyColors val="0"/>
        <c:ser>
          <c:idx val="0"/>
          <c:order val="0"/>
          <c:tx>
            <c:strRef>
              <c:f>'Pivot Table'!$K$1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Table'!$J$2:$J$4</c:f>
              <c:strCache>
                <c:ptCount val="2"/>
                <c:pt idx="0">
                  <c:v>هومزمارت</c:v>
                </c:pt>
                <c:pt idx="1">
                  <c:v>فيس بوك</c:v>
                </c:pt>
              </c:strCache>
            </c:strRef>
          </c:cat>
          <c:val>
            <c:numRef>
              <c:f>'Pivot Table'!$K$2:$K$4</c:f>
              <c:numCache>
                <c:formatCode>0%</c:formatCode>
                <c:ptCount val="2"/>
                <c:pt idx="0">
                  <c:v>0.95197487447401052</c:v>
                </c:pt>
                <c:pt idx="1">
                  <c:v>4.8025125525989469E-2</c:v>
                </c:pt>
              </c:numCache>
            </c:numRef>
          </c:val>
          <c:smooth val="0"/>
          <c:extLst>
            <c:ext xmlns:c16="http://schemas.microsoft.com/office/drawing/2014/chart" uri="{C3380CC4-5D6E-409C-BE32-E72D297353CC}">
              <c16:uniqueId val="{00000000-004A-4FFC-8729-9128624E8500}"/>
            </c:ext>
          </c:extLst>
        </c:ser>
        <c:dLbls>
          <c:dLblPos val="t"/>
          <c:showLegendKey val="0"/>
          <c:showVal val="1"/>
          <c:showCatName val="0"/>
          <c:showSerName val="0"/>
          <c:showPercent val="0"/>
          <c:showBubbleSize val="0"/>
        </c:dLbls>
        <c:marker val="1"/>
        <c:smooth val="0"/>
        <c:axId val="1933382992"/>
        <c:axId val="1933379632"/>
      </c:lineChart>
      <c:catAx>
        <c:axId val="1933382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S"/>
          </a:p>
        </c:txPr>
        <c:crossAx val="1933379632"/>
        <c:crosses val="autoZero"/>
        <c:auto val="1"/>
        <c:lblAlgn val="ctr"/>
        <c:lblOffset val="100"/>
        <c:noMultiLvlLbl val="0"/>
      </c:catAx>
      <c:valAx>
        <c:axId val="193337963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333829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[شيت الطلبات والتسليمات (مسيو)Dashborad 1.xlsx]Pivot Table!PivotTable5</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60000"/>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60000"/>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860000"/>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8.0555555555555561E-2"/>
          <c:y val="0.15175707203266259"/>
          <c:w val="0.82248140857392826"/>
          <c:h val="0.57622995042286385"/>
        </c:manualLayout>
      </c:layout>
      <c:bar3DChart>
        <c:barDir val="col"/>
        <c:grouping val="clustered"/>
        <c:varyColors val="0"/>
        <c:ser>
          <c:idx val="0"/>
          <c:order val="0"/>
          <c:tx>
            <c:strRef>
              <c:f>'Pivot Table'!$N$1</c:f>
              <c:strCache>
                <c:ptCount val="1"/>
                <c:pt idx="0">
                  <c:v>Total</c:v>
                </c:pt>
              </c:strCache>
            </c:strRef>
          </c:tx>
          <c:spPr>
            <a:solidFill>
              <a:schemeClr val="tx1">
                <a:lumMod val="65000"/>
                <a:lumOff val="35000"/>
              </a:schemeClr>
            </a:solidFill>
            <a:ln>
              <a:solidFill>
                <a:schemeClr val="tx1"/>
              </a:solidFill>
            </a:ln>
            <a:effectLst>
              <a:outerShdw blurRad="57150" dist="19050" dir="5400000" algn="ctr" rotWithShape="0">
                <a:srgbClr val="000000">
                  <a:alpha val="63000"/>
                </a:srgbClr>
              </a:outerShdw>
            </a:effectLst>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860000"/>
                    </a:solidFill>
                    <a:latin typeface="+mn-lt"/>
                    <a:ea typeface="+mn-ea"/>
                    <a:cs typeface="+mn-cs"/>
                  </a:defRPr>
                </a:pPr>
                <a:endParaRPr lang="en-A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Table'!$M$2:$M$5</c:f>
              <c:strCache>
                <c:ptCount val="3"/>
                <c:pt idx="0">
                  <c:v>سرير</c:v>
                </c:pt>
                <c:pt idx="1">
                  <c:v>تربيزة</c:v>
                </c:pt>
                <c:pt idx="2">
                  <c:v>كنبة</c:v>
                </c:pt>
              </c:strCache>
            </c:strRef>
          </c:cat>
          <c:val>
            <c:numRef>
              <c:f>'Pivot Table'!$N$2:$N$5</c:f>
              <c:numCache>
                <c:formatCode>General</c:formatCode>
                <c:ptCount val="3"/>
                <c:pt idx="0">
                  <c:v>11</c:v>
                </c:pt>
                <c:pt idx="1">
                  <c:v>6</c:v>
                </c:pt>
                <c:pt idx="2">
                  <c:v>1</c:v>
                </c:pt>
              </c:numCache>
            </c:numRef>
          </c:val>
          <c:extLst>
            <c:ext xmlns:c16="http://schemas.microsoft.com/office/drawing/2014/chart" uri="{C3380CC4-5D6E-409C-BE32-E72D297353CC}">
              <c16:uniqueId val="{00000000-2C6A-4059-89FF-0136DA24B1E8}"/>
            </c:ext>
          </c:extLst>
        </c:ser>
        <c:dLbls>
          <c:showLegendKey val="0"/>
          <c:showVal val="1"/>
          <c:showCatName val="0"/>
          <c:showSerName val="0"/>
          <c:showPercent val="0"/>
          <c:showBubbleSize val="0"/>
        </c:dLbls>
        <c:gapWidth val="150"/>
        <c:shape val="box"/>
        <c:axId val="1399423968"/>
        <c:axId val="1399427328"/>
        <c:axId val="0"/>
      </c:bar3DChart>
      <c:catAx>
        <c:axId val="1399423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AS"/>
          </a:p>
        </c:txPr>
        <c:crossAx val="1399427328"/>
        <c:crosses val="autoZero"/>
        <c:auto val="1"/>
        <c:lblAlgn val="ctr"/>
        <c:lblOffset val="100"/>
        <c:noMultiLvlLbl val="0"/>
      </c:catAx>
      <c:valAx>
        <c:axId val="139942732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39942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[شيت الطلبات والتسليمات (مسيو)Dashborad 1.xlsx]Pivot Table!PivotTable7</c:name>
    <c:fmtId val="26"/>
  </c:pivotSource>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A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A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rgbClr val="6C0000"/>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A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lumMod val="50000"/>
            </a:schemeClr>
          </a:solidFill>
          <a:ln w="19050">
            <a:solidFill>
              <a:schemeClr val="accent1"/>
            </a:solidFill>
          </a:ln>
          <a:effectLst/>
        </c:spPr>
      </c:pivotFmt>
      <c:pivotFmt>
        <c:idx val="8"/>
        <c:spPr>
          <a:solidFill>
            <a:srgbClr val="6C0000"/>
          </a:solidFill>
          <a:ln w="19050">
            <a:solidFill>
              <a:schemeClr val="accent1"/>
            </a:solidFill>
          </a:ln>
          <a:effectLst/>
        </c:spPr>
        <c:dLbl>
          <c:idx val="0"/>
          <c:layout>
            <c:manualLayout>
              <c:x val="5.8892815076560662E-3"/>
              <c:y val="-3.35008375209380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A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174492523296974"/>
          <c:y val="0.16457352378691362"/>
          <c:w val="0.59921474979561984"/>
          <c:h val="0.69956171746474272"/>
        </c:manualLayout>
      </c:layout>
      <c:doughnutChart>
        <c:varyColors val="1"/>
        <c:ser>
          <c:idx val="0"/>
          <c:order val="0"/>
          <c:tx>
            <c:strRef>
              <c:f>'Pivot Table'!$Q$1</c:f>
              <c:strCache>
                <c:ptCount val="1"/>
                <c:pt idx="0">
                  <c:v>Total</c:v>
                </c:pt>
              </c:strCache>
            </c:strRef>
          </c:tx>
          <c:spPr>
            <a:solidFill>
              <a:srgbClr val="6C0000"/>
            </a:solidFill>
            <a:ln w="19050">
              <a:solidFill>
                <a:schemeClr val="accent1"/>
              </a:solidFill>
            </a:ln>
            <a:effectLst/>
          </c:spPr>
          <c:dPt>
            <c:idx val="0"/>
            <c:bubble3D val="0"/>
            <c:spPr>
              <a:solidFill>
                <a:schemeClr val="accent1">
                  <a:lumMod val="50000"/>
                </a:schemeClr>
              </a:solidFill>
              <a:ln w="19050">
                <a:solidFill>
                  <a:schemeClr val="accent1"/>
                </a:solidFill>
              </a:ln>
              <a:effectLst/>
            </c:spPr>
            <c:extLst>
              <c:ext xmlns:c16="http://schemas.microsoft.com/office/drawing/2014/chart" uri="{C3380CC4-5D6E-409C-BE32-E72D297353CC}">
                <c16:uniqueId val="{00000001-2F4D-45F3-BD93-B99272941A09}"/>
              </c:ext>
            </c:extLst>
          </c:dPt>
          <c:dPt>
            <c:idx val="1"/>
            <c:bubble3D val="0"/>
            <c:spPr>
              <a:solidFill>
                <a:srgbClr val="6C0000"/>
              </a:solidFill>
              <a:ln w="19050">
                <a:solidFill>
                  <a:schemeClr val="accent1"/>
                </a:solidFill>
              </a:ln>
              <a:effectLst/>
            </c:spPr>
            <c:extLst>
              <c:ext xmlns:c16="http://schemas.microsoft.com/office/drawing/2014/chart" uri="{C3380CC4-5D6E-409C-BE32-E72D297353CC}">
                <c16:uniqueId val="{00000003-2F4D-45F3-BD93-B99272941A09}"/>
              </c:ext>
            </c:extLst>
          </c:dPt>
          <c:dLbls>
            <c:dLbl>
              <c:idx val="1"/>
              <c:layout>
                <c:manualLayout>
                  <c:x val="5.8892815076560662E-3"/>
                  <c:y val="-3.35008375209380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4D-45F3-BD93-B99272941A0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A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Table'!$P$2:$P$4</c:f>
              <c:strCache>
                <c:ptCount val="2"/>
                <c:pt idx="0">
                  <c:v>Later</c:v>
                </c:pt>
                <c:pt idx="1">
                  <c:v>On time</c:v>
                </c:pt>
              </c:strCache>
            </c:strRef>
          </c:cat>
          <c:val>
            <c:numRef>
              <c:f>'Pivot Table'!$Q$2:$Q$4</c:f>
              <c:numCache>
                <c:formatCode>0.00%</c:formatCode>
                <c:ptCount val="2"/>
                <c:pt idx="0">
                  <c:v>0.1111111111111111</c:v>
                </c:pt>
                <c:pt idx="1">
                  <c:v>0.88888888888888884</c:v>
                </c:pt>
              </c:numCache>
            </c:numRef>
          </c:val>
          <c:extLst>
            <c:ext xmlns:c16="http://schemas.microsoft.com/office/drawing/2014/chart" uri="{C3380CC4-5D6E-409C-BE32-E72D297353CC}">
              <c16:uniqueId val="{00000004-2F4D-45F3-BD93-B99272941A09}"/>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A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[شيت الطلبات والتسليمات (مسيو)Dashborad 1.xlsx]Pivot Table!PivotTable9</c:name>
    <c:fmtId val="3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50000"/>
              </a:schemeClr>
            </a:solidFill>
            <a:round/>
          </a:ln>
          <a:effectLst>
            <a:outerShdw blurRad="50800" dist="38100" dir="13500000" algn="br" rotWithShape="0">
              <a:schemeClr val="tx1">
                <a:lumMod val="95000"/>
                <a:lumOff val="5000"/>
                <a:alpha val="40000"/>
              </a:schemeClr>
            </a:outerShdw>
          </a:effectLst>
        </c:spPr>
        <c:marker>
          <c:symbol val="circle"/>
          <c:size val="5"/>
          <c:spPr>
            <a:solidFill>
              <a:srgbClr val="680000">
                <a:alpha val="86000"/>
              </a:srgbClr>
            </a:solidFill>
            <a:ln w="9525">
              <a:solidFill>
                <a:schemeClr val="accent1"/>
              </a:solidFill>
            </a:ln>
            <a:effectLst>
              <a:outerShdw blurRad="50800" dist="38100" dir="13500000" algn="br" rotWithShape="0">
                <a:schemeClr val="tx1">
                  <a:lumMod val="95000"/>
                  <a:lumOff val="5000"/>
                  <a:alpha val="40000"/>
                </a:schemeClr>
              </a:outerShdw>
            </a:effectLst>
          </c:spPr>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05705207901644E-2"/>
          <c:y val="9.574184837472241E-2"/>
          <c:w val="0.93304093567251467"/>
          <c:h val="0.57934774379164145"/>
        </c:manualLayout>
      </c:layout>
      <c:lineChart>
        <c:grouping val="standard"/>
        <c:varyColors val="0"/>
        <c:ser>
          <c:idx val="0"/>
          <c:order val="0"/>
          <c:tx>
            <c:strRef>
              <c:f>'Pivot Table'!$W$1</c:f>
              <c:strCache>
                <c:ptCount val="1"/>
                <c:pt idx="0">
                  <c:v>Total</c:v>
                </c:pt>
              </c:strCache>
            </c:strRef>
          </c:tx>
          <c:spPr>
            <a:ln w="28575" cap="rnd">
              <a:solidFill>
                <a:schemeClr val="accent1">
                  <a:lumMod val="50000"/>
                </a:schemeClr>
              </a:solidFill>
              <a:round/>
            </a:ln>
            <a:effectLst>
              <a:outerShdw blurRad="50800" dist="38100" dir="13500000" algn="br" rotWithShape="0">
                <a:schemeClr val="tx1">
                  <a:lumMod val="95000"/>
                  <a:lumOff val="5000"/>
                  <a:alpha val="40000"/>
                </a:schemeClr>
              </a:outerShdw>
            </a:effectLst>
          </c:spPr>
          <c:marker>
            <c:symbol val="circle"/>
            <c:size val="5"/>
            <c:spPr>
              <a:solidFill>
                <a:srgbClr val="680000">
                  <a:alpha val="86000"/>
                </a:srgbClr>
              </a:solidFill>
              <a:ln w="9525">
                <a:solidFill>
                  <a:schemeClr val="accent1"/>
                </a:solidFill>
              </a:ln>
              <a:effectLst>
                <a:outerShdw blurRad="50800" dist="38100" dir="13500000" algn="br" rotWithShape="0">
                  <a:schemeClr val="tx1">
                    <a:lumMod val="95000"/>
                    <a:lumOff val="5000"/>
                    <a:alpha val="40000"/>
                  </a:schemeClr>
                </a:outerShdw>
              </a:effectLst>
            </c:spPr>
          </c:marker>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A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Table'!$V$2:$V$9</c:f>
              <c:strCache>
                <c:ptCount val="7"/>
                <c:pt idx="0">
                  <c:v>مطروح</c:v>
                </c:pt>
                <c:pt idx="1">
                  <c:v>القاهرة</c:v>
                </c:pt>
                <c:pt idx="2">
                  <c:v>العين السخنة</c:v>
                </c:pt>
                <c:pt idx="3">
                  <c:v>السويس</c:v>
                </c:pt>
                <c:pt idx="4">
                  <c:v>الجيزة</c:v>
                </c:pt>
                <c:pt idx="5">
                  <c:v>البحر الأحمر</c:v>
                </c:pt>
                <c:pt idx="6">
                  <c:v>الإسكندرية</c:v>
                </c:pt>
              </c:strCache>
            </c:strRef>
          </c:cat>
          <c:val>
            <c:numRef>
              <c:f>'Pivot Table'!$W$2:$W$9</c:f>
              <c:numCache>
                <c:formatCode>0%</c:formatCode>
                <c:ptCount val="7"/>
                <c:pt idx="0">
                  <c:v>0.12343219563759071</c:v>
                </c:pt>
                <c:pt idx="1">
                  <c:v>0.46784095298111522</c:v>
                </c:pt>
                <c:pt idx="2">
                  <c:v>4.7765942308865085E-2</c:v>
                </c:pt>
                <c:pt idx="3">
                  <c:v>4.5885593478746975E-2</c:v>
                </c:pt>
                <c:pt idx="4">
                  <c:v>0.12752830687292907</c:v>
                </c:pt>
                <c:pt idx="5">
                  <c:v>0.11179944301018438</c:v>
                </c:pt>
                <c:pt idx="6">
                  <c:v>7.5747565710568579E-2</c:v>
                </c:pt>
              </c:numCache>
            </c:numRef>
          </c:val>
          <c:smooth val="0"/>
          <c:extLst>
            <c:ext xmlns:c16="http://schemas.microsoft.com/office/drawing/2014/chart" uri="{C3380CC4-5D6E-409C-BE32-E72D297353CC}">
              <c16:uniqueId val="{00000000-E301-423C-A897-BE65BA14287C}"/>
            </c:ext>
          </c:extLst>
        </c:ser>
        <c:dLbls>
          <c:dLblPos val="ctr"/>
          <c:showLegendKey val="0"/>
          <c:showVal val="1"/>
          <c:showCatName val="0"/>
          <c:showSerName val="0"/>
          <c:showPercent val="0"/>
          <c:showBubbleSize val="0"/>
        </c:dLbls>
        <c:marker val="1"/>
        <c:smooth val="0"/>
        <c:axId val="1928686384"/>
        <c:axId val="1928688304"/>
      </c:lineChart>
      <c:catAx>
        <c:axId val="192868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AS"/>
          </a:p>
        </c:txPr>
        <c:crossAx val="1928688304"/>
        <c:crosses val="autoZero"/>
        <c:auto val="1"/>
        <c:lblAlgn val="ctr"/>
        <c:lblOffset val="100"/>
        <c:noMultiLvlLbl val="0"/>
      </c:catAx>
      <c:valAx>
        <c:axId val="1928688304"/>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92868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b="1"/>
      </a:pPr>
      <a:endParaRPr lang="en-A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[شيت الطلبات والتسليمات (مسيو)Dashborad 1.xlsx]Pivot Table!PivotTable8</c:name>
    <c:fmtId val="27"/>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A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80000"/>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s>
    <c:plotArea>
      <c:layout/>
      <c:pieChart>
        <c:varyColors val="1"/>
        <c:ser>
          <c:idx val="0"/>
          <c:order val="0"/>
          <c:tx>
            <c:strRef>
              <c:f>'Pivot Table'!$T$1</c:f>
              <c:strCache>
                <c:ptCount val="1"/>
                <c:pt idx="0">
                  <c:v>Total</c:v>
                </c:pt>
              </c:strCache>
            </c:strRef>
          </c:tx>
          <c:spPr>
            <a:solidFill>
              <a:schemeClr val="accent1">
                <a:lumMod val="50000"/>
              </a:schemeClr>
            </a:solidFill>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8342-475F-A992-D5EFC8D43CC2}"/>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8342-475F-A992-D5EFC8D43CC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A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Table'!$S$2:$S$3</c:f>
              <c:strCache>
                <c:ptCount val="1"/>
                <c:pt idx="0">
                  <c:v>فشل التسليم</c:v>
                </c:pt>
              </c:strCache>
            </c:strRef>
          </c:cat>
          <c:val>
            <c:numRef>
              <c:f>'Pivot Table'!$T$2:$T$3</c:f>
              <c:numCache>
                <c:formatCode>General</c:formatCode>
                <c:ptCount val="1"/>
                <c:pt idx="0">
                  <c:v>18</c:v>
                </c:pt>
              </c:numCache>
            </c:numRef>
          </c:val>
          <c:extLst>
            <c:ext xmlns:c16="http://schemas.microsoft.com/office/drawing/2014/chart" uri="{C3380CC4-5D6E-409C-BE32-E72D297353CC}">
              <c16:uniqueId val="{00000004-8342-475F-A992-D5EFC8D43C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[شيت الطلبات والتسليمات (مسيو)Dashborad 1.xlsx]Pivot Table!PivotTable10</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w="15875" cap="flat">
            <a:solidFill>
              <a:schemeClr val="tx1">
                <a:lumMod val="95000"/>
                <a:lumOff val="5000"/>
                <a:alpha val="75000"/>
              </a:schemeClr>
            </a:solidFill>
            <a:round/>
          </a:ln>
          <a:effectLst>
            <a:glow rad="63500">
              <a:schemeClr val="tx1">
                <a:lumMod val="65000"/>
                <a:lumOff val="35000"/>
                <a:alpha val="40000"/>
              </a:schemeClr>
            </a:glow>
            <a:outerShdw blurRad="57150" dist="19050" dir="5400000" algn="ctr" rotWithShape="0">
              <a:schemeClr val="bg2">
                <a:lumMod val="10000"/>
                <a:alpha val="63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860000"/>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w="15875" cap="flat">
            <a:solidFill>
              <a:schemeClr val="tx1">
                <a:lumMod val="95000"/>
                <a:lumOff val="5000"/>
                <a:alpha val="74000"/>
              </a:schemeClr>
            </a:solidFill>
            <a:round/>
          </a:ln>
          <a:effectLst>
            <a:glow rad="63500">
              <a:schemeClr val="tx1">
                <a:lumMod val="65000"/>
                <a:lumOff val="35000"/>
                <a:alpha val="40000"/>
              </a:schemeClr>
            </a:glow>
            <a:outerShdw blurRad="57150" dist="19050" dir="5400000" algn="ctr" rotWithShape="0">
              <a:schemeClr val="bg2">
                <a:lumMod val="10000"/>
                <a:alpha val="63000"/>
              </a:schemeClr>
            </a:outerShdw>
          </a:effectLst>
        </c:spPr>
      </c:pivotFmt>
    </c:pivotFmts>
    <c:plotArea>
      <c:layout>
        <c:manualLayout>
          <c:layoutTarget val="inner"/>
          <c:xMode val="edge"/>
          <c:yMode val="edge"/>
          <c:x val="0.17853379203305803"/>
          <c:y val="0.13108614232209737"/>
          <c:w val="0.78694015649173799"/>
          <c:h val="0.79400749063670417"/>
        </c:manualLayout>
      </c:layout>
      <c:barChart>
        <c:barDir val="bar"/>
        <c:grouping val="clustered"/>
        <c:varyColors val="0"/>
        <c:ser>
          <c:idx val="0"/>
          <c:order val="0"/>
          <c:tx>
            <c:strRef>
              <c:f>'Pivot Table'!$Z$1</c:f>
              <c:strCache>
                <c:ptCount val="1"/>
                <c:pt idx="0">
                  <c:v>Total</c:v>
                </c:pt>
              </c:strCache>
            </c:strRef>
          </c:tx>
          <c:spPr>
            <a:solidFill>
              <a:schemeClr val="tx1">
                <a:lumMod val="65000"/>
                <a:lumOff val="35000"/>
              </a:schemeClr>
            </a:solidFill>
            <a:ln w="15875" cap="flat">
              <a:solidFill>
                <a:schemeClr val="tx1">
                  <a:lumMod val="95000"/>
                  <a:lumOff val="5000"/>
                  <a:alpha val="75000"/>
                </a:schemeClr>
              </a:solidFill>
              <a:round/>
            </a:ln>
            <a:effectLst>
              <a:glow rad="63500">
                <a:schemeClr val="tx1">
                  <a:lumMod val="65000"/>
                  <a:lumOff val="35000"/>
                  <a:alpha val="40000"/>
                </a:schemeClr>
              </a:glow>
              <a:outerShdw blurRad="57150" dist="19050" dir="5400000" algn="ctr" rotWithShape="0">
                <a:schemeClr val="bg2">
                  <a:lumMod val="10000"/>
                  <a:alpha val="63000"/>
                </a:schemeClr>
              </a:outerShdw>
            </a:effectLst>
          </c:spPr>
          <c:invertIfNegative val="0"/>
          <c:dPt>
            <c:idx val="1"/>
            <c:invertIfNegative val="0"/>
            <c:bubble3D val="0"/>
            <c:spPr>
              <a:solidFill>
                <a:schemeClr val="tx1">
                  <a:lumMod val="65000"/>
                  <a:lumOff val="35000"/>
                </a:schemeClr>
              </a:solidFill>
              <a:ln w="15875" cap="flat">
                <a:solidFill>
                  <a:schemeClr val="tx1">
                    <a:lumMod val="95000"/>
                    <a:lumOff val="5000"/>
                    <a:alpha val="74000"/>
                  </a:schemeClr>
                </a:solidFill>
                <a:round/>
              </a:ln>
              <a:effectLst>
                <a:glow rad="63500">
                  <a:schemeClr val="tx1">
                    <a:lumMod val="65000"/>
                    <a:lumOff val="35000"/>
                    <a:alpha val="40000"/>
                  </a:schemeClr>
                </a:glow>
                <a:outerShdw blurRad="57150" dist="19050" dir="5400000" algn="ctr" rotWithShape="0">
                  <a:schemeClr val="bg2">
                    <a:lumMod val="10000"/>
                    <a:alpha val="63000"/>
                  </a:schemeClr>
                </a:outerShdw>
              </a:effectLst>
            </c:spPr>
            <c:extLst>
              <c:ext xmlns:c16="http://schemas.microsoft.com/office/drawing/2014/chart" uri="{C3380CC4-5D6E-409C-BE32-E72D297353CC}">
                <c16:uniqueId val="{00000000-57ED-4274-9DD1-4331D27FFB1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860000"/>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Table'!$Y$2:$Y$4</c:f>
              <c:strCache>
                <c:ptCount val="2"/>
                <c:pt idx="0">
                  <c:v>مسبق الدفع</c:v>
                </c:pt>
                <c:pt idx="1">
                  <c:v>كاش</c:v>
                </c:pt>
              </c:strCache>
            </c:strRef>
          </c:cat>
          <c:val>
            <c:numRef>
              <c:f>'Pivot Table'!$Z$2:$Z$4</c:f>
              <c:numCache>
                <c:formatCode>0%</c:formatCode>
                <c:ptCount val="2"/>
                <c:pt idx="0">
                  <c:v>0.64690098184701073</c:v>
                </c:pt>
                <c:pt idx="1">
                  <c:v>0.35309901815298922</c:v>
                </c:pt>
              </c:numCache>
            </c:numRef>
          </c:val>
          <c:extLst>
            <c:ext xmlns:c16="http://schemas.microsoft.com/office/drawing/2014/chart" uri="{C3380CC4-5D6E-409C-BE32-E72D297353CC}">
              <c16:uniqueId val="{00000000-00CA-4F33-8382-2EC1D0F07EAF}"/>
            </c:ext>
          </c:extLst>
        </c:ser>
        <c:dLbls>
          <c:dLblPos val="outEnd"/>
          <c:showLegendKey val="0"/>
          <c:showVal val="1"/>
          <c:showCatName val="0"/>
          <c:showSerName val="0"/>
          <c:showPercent val="0"/>
          <c:showBubbleSize val="0"/>
        </c:dLbls>
        <c:gapWidth val="131"/>
        <c:overlap val="-29"/>
        <c:axId val="2005206496"/>
        <c:axId val="2005205056"/>
      </c:barChart>
      <c:catAx>
        <c:axId val="2005206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AS"/>
          </a:p>
        </c:txPr>
        <c:crossAx val="2005205056"/>
        <c:crosses val="autoZero"/>
        <c:auto val="1"/>
        <c:lblAlgn val="ctr"/>
        <c:lblOffset val="100"/>
        <c:noMultiLvlLbl val="0"/>
      </c:catAx>
      <c:valAx>
        <c:axId val="2005205056"/>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2005206496"/>
        <c:crosses val="autoZero"/>
        <c:crossBetween val="between"/>
      </c:valAx>
      <c:spPr>
        <a:noFill/>
        <a:ln>
          <a:noFill/>
        </a:ln>
        <a:effectLst>
          <a:softEdge rad="3175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[شيت الطلبات والتسليمات (مسيو)Dashborad 1.xlsx]Pivot Table!PivotTable4</c:name>
    <c:fmtId val="3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rgbClr val="680000"/>
            </a:solidFill>
            <a:round/>
          </a:ln>
          <a:effectLst>
            <a:outerShdw blurRad="57150" dist="19050" dir="5400000" algn="ctr" rotWithShape="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Table'!$K$1</c:f>
              <c:strCache>
                <c:ptCount val="1"/>
                <c:pt idx="0">
                  <c:v>Total</c:v>
                </c:pt>
              </c:strCache>
            </c:strRef>
          </c:tx>
          <c:spPr>
            <a:ln w="34925" cap="rnd">
              <a:solidFill>
                <a:srgbClr val="680000"/>
              </a:solidFill>
              <a:round/>
            </a:ln>
            <a:effectLst>
              <a:outerShdw blurRad="57150" dist="19050" dir="5400000" algn="ctr" rotWithShape="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mn-lt"/>
                    <a:ea typeface="+mn-ea"/>
                    <a:cs typeface="+mn-cs"/>
                  </a:defRPr>
                </a:pPr>
                <a:endParaRPr lang="en-A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Table'!$J$2:$J$4</c:f>
              <c:strCache>
                <c:ptCount val="2"/>
                <c:pt idx="0">
                  <c:v>هومزمارت</c:v>
                </c:pt>
                <c:pt idx="1">
                  <c:v>فيس بوك</c:v>
                </c:pt>
              </c:strCache>
            </c:strRef>
          </c:cat>
          <c:val>
            <c:numRef>
              <c:f>'Pivot Table'!$K$2:$K$4</c:f>
              <c:numCache>
                <c:formatCode>0%</c:formatCode>
                <c:ptCount val="2"/>
                <c:pt idx="0">
                  <c:v>0.95197487447401052</c:v>
                </c:pt>
                <c:pt idx="1">
                  <c:v>4.8025125525989469E-2</c:v>
                </c:pt>
              </c:numCache>
            </c:numRef>
          </c:val>
          <c:smooth val="0"/>
          <c:extLst>
            <c:ext xmlns:c16="http://schemas.microsoft.com/office/drawing/2014/chart" uri="{C3380CC4-5D6E-409C-BE32-E72D297353CC}">
              <c16:uniqueId val="{00000000-9B68-423A-8A2C-26F8188842C0}"/>
            </c:ext>
          </c:extLst>
        </c:ser>
        <c:dLbls>
          <c:dLblPos val="t"/>
          <c:showLegendKey val="0"/>
          <c:showVal val="1"/>
          <c:showCatName val="0"/>
          <c:showSerName val="0"/>
          <c:showPercent val="0"/>
          <c:showBubbleSize val="0"/>
        </c:dLbls>
        <c:marker val="1"/>
        <c:smooth val="0"/>
        <c:axId val="1933382992"/>
        <c:axId val="1933379632"/>
      </c:lineChart>
      <c:catAx>
        <c:axId val="1933382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AS"/>
          </a:p>
        </c:txPr>
        <c:crossAx val="1933379632"/>
        <c:crosses val="autoZero"/>
        <c:auto val="1"/>
        <c:lblAlgn val="ctr"/>
        <c:lblOffset val="100"/>
        <c:noMultiLvlLbl val="0"/>
      </c:catAx>
      <c:valAx>
        <c:axId val="1933379632"/>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9333829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8.xml"/><Relationship Id="rId18" Type="http://schemas.openxmlformats.org/officeDocument/2006/relationships/image" Target="../media/image18.png"/><Relationship Id="rId26" Type="http://schemas.openxmlformats.org/officeDocument/2006/relationships/image" Target="../media/image24.png"/><Relationship Id="rId3" Type="http://schemas.openxmlformats.org/officeDocument/2006/relationships/image" Target="../media/image3.svg"/><Relationship Id="rId21" Type="http://schemas.openxmlformats.org/officeDocument/2006/relationships/image" Target="../media/image21.svg"/><Relationship Id="rId7" Type="http://schemas.openxmlformats.org/officeDocument/2006/relationships/image" Target="../media/image7.svg"/><Relationship Id="rId12" Type="http://schemas.openxmlformats.org/officeDocument/2006/relationships/chart" Target="../charts/chart7.xml"/><Relationship Id="rId17" Type="http://schemas.openxmlformats.org/officeDocument/2006/relationships/chart" Target="../charts/chart10.xml"/><Relationship Id="rId25" Type="http://schemas.openxmlformats.org/officeDocument/2006/relationships/image" Target="../media/image23.svg"/><Relationship Id="rId2" Type="http://schemas.openxmlformats.org/officeDocument/2006/relationships/image" Target="../media/image2.png"/><Relationship Id="rId16" Type="http://schemas.openxmlformats.org/officeDocument/2006/relationships/chart" Target="../charts/chart9.xml"/><Relationship Id="rId20" Type="http://schemas.openxmlformats.org/officeDocument/2006/relationships/image" Target="../media/image20.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svg"/><Relationship Id="rId24" Type="http://schemas.openxmlformats.org/officeDocument/2006/relationships/image" Target="../media/image22.png"/><Relationship Id="rId5" Type="http://schemas.openxmlformats.org/officeDocument/2006/relationships/image" Target="../media/image5.svg"/><Relationship Id="rId15" Type="http://schemas.openxmlformats.org/officeDocument/2006/relationships/image" Target="../media/image17.svg"/><Relationship Id="rId23" Type="http://schemas.openxmlformats.org/officeDocument/2006/relationships/chart" Target="../charts/chart12.xml"/><Relationship Id="rId10" Type="http://schemas.openxmlformats.org/officeDocument/2006/relationships/image" Target="../media/image10.png"/><Relationship Id="rId19" Type="http://schemas.openxmlformats.org/officeDocument/2006/relationships/image" Target="../media/image19.sv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image" Target="../media/image16.png"/><Relationship Id="rId22" Type="http://schemas.openxmlformats.org/officeDocument/2006/relationships/chart" Target="../charts/chart11.xml"/><Relationship Id="rId27" Type="http://schemas.openxmlformats.org/officeDocument/2006/relationships/image" Target="../media/image25.svg"/></Relationships>
</file>

<file path=xl/drawings/_rels/drawing3.xml.rels><?xml version="1.0" encoding="UTF-8" standalone="yes"?>
<Relationships xmlns="http://schemas.openxmlformats.org/package/2006/relationships"><Relationship Id="rId2" Type="http://schemas.openxmlformats.org/officeDocument/2006/relationships/image" Target="../media/image13.svg"/><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5.svg"/><Relationship Id="rId1" Type="http://schemas.openxmlformats.org/officeDocument/2006/relationships/image" Target="../media/image14.png"/><Relationship Id="rId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oneCell">
    <xdr:from>
      <xdr:col>29</xdr:col>
      <xdr:colOff>617220</xdr:colOff>
      <xdr:row>15</xdr:row>
      <xdr:rowOff>160022</xdr:rowOff>
    </xdr:from>
    <xdr:to>
      <xdr:col>33</xdr:col>
      <xdr:colOff>243840</xdr:colOff>
      <xdr:row>21</xdr:row>
      <xdr:rowOff>15241</xdr:rowOff>
    </xdr:to>
    <mc:AlternateContent xmlns:mc="http://schemas.openxmlformats.org/markup-compatibility/2006" xmlns:a14="http://schemas.microsoft.com/office/drawing/2010/main">
      <mc:Choice Requires="a14">
        <xdr:graphicFrame macro="">
          <xdr:nvGraphicFramePr>
            <xdr:cNvPr id="2" name="نوع العميل ">
              <a:extLst>
                <a:ext uri="{FF2B5EF4-FFF2-40B4-BE49-F238E27FC236}">
                  <a16:creationId xmlns:a16="http://schemas.microsoft.com/office/drawing/2014/main" id="{E6858E57-6B69-1366-EECB-166DA41B898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نوع العميل "/>
            </a:graphicData>
          </a:graphic>
        </xdr:graphicFrame>
      </mc:Choice>
      <mc:Fallback xmlns="">
        <xdr:sp macro="" textlink="">
          <xdr:nvSpPr>
            <xdr:cNvPr id="0" name=""/>
            <xdr:cNvSpPr>
              <a:spLocks noTextEdit="1"/>
            </xdr:cNvSpPr>
          </xdr:nvSpPr>
          <xdr:spPr>
            <a:xfrm>
              <a:off x="24665940" y="2903222"/>
              <a:ext cx="1828800" cy="952499"/>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381000</xdr:colOff>
      <xdr:row>16</xdr:row>
      <xdr:rowOff>7621</xdr:rowOff>
    </xdr:from>
    <xdr:to>
      <xdr:col>36</xdr:col>
      <xdr:colOff>464820</xdr:colOff>
      <xdr:row>20</xdr:row>
      <xdr:rowOff>160021</xdr:rowOff>
    </xdr:to>
    <mc:AlternateContent xmlns:mc="http://schemas.openxmlformats.org/markup-compatibility/2006" xmlns:a14="http://schemas.microsoft.com/office/drawing/2010/main">
      <mc:Choice Requires="a14">
        <xdr:graphicFrame macro="">
          <xdr:nvGraphicFramePr>
            <xdr:cNvPr id="5" name="الحالة">
              <a:extLst>
                <a:ext uri="{FF2B5EF4-FFF2-40B4-BE49-F238E27FC236}">
                  <a16:creationId xmlns:a16="http://schemas.microsoft.com/office/drawing/2014/main" id="{16FEA733-F6FD-02B0-9A2D-E179A2FD8873}"/>
                </a:ext>
              </a:extLst>
            </xdr:cNvPr>
            <xdr:cNvGraphicFramePr/>
          </xdr:nvGraphicFramePr>
          <xdr:xfrm>
            <a:off x="0" y="0"/>
            <a:ext cx="0" cy="0"/>
          </xdr:xfrm>
          <a:graphic>
            <a:graphicData uri="http://schemas.microsoft.com/office/drawing/2010/slicer">
              <sle:slicer xmlns:sle="http://schemas.microsoft.com/office/drawing/2010/slicer" name="الحالة"/>
            </a:graphicData>
          </a:graphic>
        </xdr:graphicFrame>
      </mc:Choice>
      <mc:Fallback xmlns="">
        <xdr:sp macro="" textlink="">
          <xdr:nvSpPr>
            <xdr:cNvPr id="0" name=""/>
            <xdr:cNvSpPr>
              <a:spLocks noTextEdit="1"/>
            </xdr:cNvSpPr>
          </xdr:nvSpPr>
          <xdr:spPr>
            <a:xfrm>
              <a:off x="26631900" y="2933701"/>
              <a:ext cx="1828800" cy="88392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678180</xdr:colOff>
      <xdr:row>0</xdr:row>
      <xdr:rowOff>15240</xdr:rowOff>
    </xdr:from>
    <xdr:to>
      <xdr:col>33</xdr:col>
      <xdr:colOff>304800</xdr:colOff>
      <xdr:row>13</xdr:row>
      <xdr:rowOff>175260</xdr:rowOff>
    </xdr:to>
    <mc:AlternateContent xmlns:mc="http://schemas.openxmlformats.org/markup-compatibility/2006" xmlns:a14="http://schemas.microsoft.com/office/drawing/2010/main">
      <mc:Choice Requires="a14">
        <xdr:graphicFrame macro="">
          <xdr:nvGraphicFramePr>
            <xdr:cNvPr id="6" name="منصة البيع ">
              <a:extLst>
                <a:ext uri="{FF2B5EF4-FFF2-40B4-BE49-F238E27FC236}">
                  <a16:creationId xmlns:a16="http://schemas.microsoft.com/office/drawing/2014/main" id="{D7441B05-644F-F67D-EFAD-8FFA3B97E4E1}"/>
                </a:ext>
              </a:extLst>
            </xdr:cNvPr>
            <xdr:cNvGraphicFramePr/>
          </xdr:nvGraphicFramePr>
          <xdr:xfrm>
            <a:off x="0" y="0"/>
            <a:ext cx="0" cy="0"/>
          </xdr:xfrm>
          <a:graphic>
            <a:graphicData uri="http://schemas.microsoft.com/office/drawing/2010/slicer">
              <sle:slicer xmlns:sle="http://schemas.microsoft.com/office/drawing/2010/slicer" name="منصة البيع "/>
            </a:graphicData>
          </a:graphic>
        </xdr:graphicFrame>
      </mc:Choice>
      <mc:Fallback xmlns="">
        <xdr:sp macro="" textlink="">
          <xdr:nvSpPr>
            <xdr:cNvPr id="0" name=""/>
            <xdr:cNvSpPr>
              <a:spLocks noTextEdit="1"/>
            </xdr:cNvSpPr>
          </xdr:nvSpPr>
          <xdr:spPr>
            <a:xfrm>
              <a:off x="24726900" y="15240"/>
              <a:ext cx="1828800" cy="253746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22860</xdr:colOff>
      <xdr:row>0</xdr:row>
      <xdr:rowOff>121920</xdr:rowOff>
    </xdr:from>
    <xdr:to>
      <xdr:col>36</xdr:col>
      <xdr:colOff>502920</xdr:colOff>
      <xdr:row>14</xdr:row>
      <xdr:rowOff>28575</xdr:rowOff>
    </xdr:to>
    <mc:AlternateContent xmlns:mc="http://schemas.openxmlformats.org/markup-compatibility/2006" xmlns:a14="http://schemas.microsoft.com/office/drawing/2010/main">
      <mc:Choice Requires="a14">
        <xdr:graphicFrame macro="">
          <xdr:nvGraphicFramePr>
            <xdr:cNvPr id="7" name="المحافظة">
              <a:extLst>
                <a:ext uri="{FF2B5EF4-FFF2-40B4-BE49-F238E27FC236}">
                  <a16:creationId xmlns:a16="http://schemas.microsoft.com/office/drawing/2014/main" id="{A0928C1D-288A-17A3-AEAD-D34B15A5F2A1}"/>
                </a:ext>
              </a:extLst>
            </xdr:cNvPr>
            <xdr:cNvGraphicFramePr/>
          </xdr:nvGraphicFramePr>
          <xdr:xfrm>
            <a:off x="0" y="0"/>
            <a:ext cx="0" cy="0"/>
          </xdr:xfrm>
          <a:graphic>
            <a:graphicData uri="http://schemas.microsoft.com/office/drawing/2010/slicer">
              <sle:slicer xmlns:sle="http://schemas.microsoft.com/office/drawing/2010/slicer" name="المحافظة"/>
            </a:graphicData>
          </a:graphic>
        </xdr:graphicFrame>
      </mc:Choice>
      <mc:Fallback xmlns="">
        <xdr:sp macro="" textlink="">
          <xdr:nvSpPr>
            <xdr:cNvPr id="0" name=""/>
            <xdr:cNvSpPr>
              <a:spLocks noTextEdit="1"/>
            </xdr:cNvSpPr>
          </xdr:nvSpPr>
          <xdr:spPr>
            <a:xfrm>
              <a:off x="26670000" y="121920"/>
              <a:ext cx="1828800" cy="2466975"/>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228600</xdr:colOff>
      <xdr:row>11</xdr:row>
      <xdr:rowOff>41910</xdr:rowOff>
    </xdr:from>
    <xdr:to>
      <xdr:col>13</xdr:col>
      <xdr:colOff>487680</xdr:colOff>
      <xdr:row>24</xdr:row>
      <xdr:rowOff>144780</xdr:rowOff>
    </xdr:to>
    <xdr:graphicFrame macro="">
      <xdr:nvGraphicFramePr>
        <xdr:cNvPr id="13" name="Chart 12">
          <a:extLst>
            <a:ext uri="{FF2B5EF4-FFF2-40B4-BE49-F238E27FC236}">
              <a16:creationId xmlns:a16="http://schemas.microsoft.com/office/drawing/2014/main" id="{3B46B422-D5D9-9C4B-6A2D-A3AE98B26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1055370</xdr:colOff>
      <xdr:row>7</xdr:row>
      <xdr:rowOff>125730</xdr:rowOff>
    </xdr:from>
    <xdr:to>
      <xdr:col>17</xdr:col>
      <xdr:colOff>22860</xdr:colOff>
      <xdr:row>21</xdr:row>
      <xdr:rowOff>137160</xdr:rowOff>
    </xdr:to>
    <xdr:graphicFrame macro="">
      <xdr:nvGraphicFramePr>
        <xdr:cNvPr id="14" name="Chart 13">
          <a:extLst>
            <a:ext uri="{FF2B5EF4-FFF2-40B4-BE49-F238E27FC236}">
              <a16:creationId xmlns:a16="http://schemas.microsoft.com/office/drawing/2014/main" id="{4F2AF559-C35B-0BB6-7363-AEFB2438D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76200</xdr:colOff>
      <xdr:row>13</xdr:row>
      <xdr:rowOff>7620</xdr:rowOff>
    </xdr:from>
    <xdr:to>
      <xdr:col>22</xdr:col>
      <xdr:colOff>3634740</xdr:colOff>
      <xdr:row>30</xdr:row>
      <xdr:rowOff>19050</xdr:rowOff>
    </xdr:to>
    <xdr:graphicFrame macro="">
      <xdr:nvGraphicFramePr>
        <xdr:cNvPr id="4" name="Chart 3">
          <a:extLst>
            <a:ext uri="{FF2B5EF4-FFF2-40B4-BE49-F238E27FC236}">
              <a16:creationId xmlns:a16="http://schemas.microsoft.com/office/drawing/2014/main" id="{4612989E-2653-E75A-96CE-B4AE4CF37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38100</xdr:colOff>
      <xdr:row>3</xdr:row>
      <xdr:rowOff>163830</xdr:rowOff>
    </xdr:from>
    <xdr:to>
      <xdr:col>19</xdr:col>
      <xdr:colOff>784860</xdr:colOff>
      <xdr:row>9</xdr:row>
      <xdr:rowOff>83820</xdr:rowOff>
    </xdr:to>
    <xdr:graphicFrame macro="">
      <xdr:nvGraphicFramePr>
        <xdr:cNvPr id="9" name="Chart 8">
          <a:extLst>
            <a:ext uri="{FF2B5EF4-FFF2-40B4-BE49-F238E27FC236}">
              <a16:creationId xmlns:a16="http://schemas.microsoft.com/office/drawing/2014/main" id="{DE70FB3B-F131-898D-6C71-1C8624CB2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274320</xdr:colOff>
      <xdr:row>11</xdr:row>
      <xdr:rowOff>0</xdr:rowOff>
    </xdr:from>
    <xdr:to>
      <xdr:col>26</xdr:col>
      <xdr:colOff>251460</xdr:colOff>
      <xdr:row>22</xdr:row>
      <xdr:rowOff>26670</xdr:rowOff>
    </xdr:to>
    <xdr:graphicFrame macro="">
      <xdr:nvGraphicFramePr>
        <xdr:cNvPr id="10" name="Chart 9">
          <a:extLst>
            <a:ext uri="{FF2B5EF4-FFF2-40B4-BE49-F238E27FC236}">
              <a16:creationId xmlns:a16="http://schemas.microsoft.com/office/drawing/2014/main" id="{8CEB2D0B-BCAA-F29D-5640-90FF781DA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434340</xdr:colOff>
      <xdr:row>11</xdr:row>
      <xdr:rowOff>144780</xdr:rowOff>
    </xdr:from>
    <xdr:to>
      <xdr:col>11</xdr:col>
      <xdr:colOff>129540</xdr:colOff>
      <xdr:row>19</xdr:row>
      <xdr:rowOff>30480</xdr:rowOff>
    </xdr:to>
    <xdr:graphicFrame macro="">
      <xdr:nvGraphicFramePr>
        <xdr:cNvPr id="11" name="Chart 10">
          <a:extLst>
            <a:ext uri="{FF2B5EF4-FFF2-40B4-BE49-F238E27FC236}">
              <a16:creationId xmlns:a16="http://schemas.microsoft.com/office/drawing/2014/main" id="{030A1CE6-0A34-0592-B432-C59820500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220980</xdr:colOff>
      <xdr:row>0</xdr:row>
      <xdr:rowOff>99060</xdr:rowOff>
    </xdr:from>
    <xdr:to>
      <xdr:col>3</xdr:col>
      <xdr:colOff>441960</xdr:colOff>
      <xdr:row>27</xdr:row>
      <xdr:rowOff>30480</xdr:rowOff>
    </xdr:to>
    <xdr:sp macro="" textlink="">
      <xdr:nvSpPr>
        <xdr:cNvPr id="2" name="Rectangle: Rounded Corners 1">
          <a:extLst>
            <a:ext uri="{FF2B5EF4-FFF2-40B4-BE49-F238E27FC236}">
              <a16:creationId xmlns:a16="http://schemas.microsoft.com/office/drawing/2014/main" id="{B2CA32A0-7C8C-1043-DBE4-B51AA04885EC}"/>
            </a:ext>
          </a:extLst>
        </xdr:cNvPr>
        <xdr:cNvSpPr/>
      </xdr:nvSpPr>
      <xdr:spPr>
        <a:xfrm>
          <a:off x="220980" y="99060"/>
          <a:ext cx="2156460" cy="4869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3</xdr:col>
      <xdr:colOff>541020</xdr:colOff>
      <xdr:row>0</xdr:row>
      <xdr:rowOff>91440</xdr:rowOff>
    </xdr:from>
    <xdr:to>
      <xdr:col>22</xdr:col>
      <xdr:colOff>281940</xdr:colOff>
      <xdr:row>3</xdr:row>
      <xdr:rowOff>121920</xdr:rowOff>
    </xdr:to>
    <xdr:sp macro="" textlink="">
      <xdr:nvSpPr>
        <xdr:cNvPr id="3" name="Rectangle: Rounded Corners 2">
          <a:extLst>
            <a:ext uri="{FF2B5EF4-FFF2-40B4-BE49-F238E27FC236}">
              <a16:creationId xmlns:a16="http://schemas.microsoft.com/office/drawing/2014/main" id="{F59761A9-0E42-69ED-A542-B6EE4CA73495}"/>
            </a:ext>
          </a:extLst>
        </xdr:cNvPr>
        <xdr:cNvSpPr/>
      </xdr:nvSpPr>
      <xdr:spPr>
        <a:xfrm>
          <a:off x="2476500" y="91440"/>
          <a:ext cx="11338560" cy="5791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solidFill>
              <a:schemeClr val="accent1"/>
            </a:solidFill>
          </a:endParaRPr>
        </a:p>
      </xdr:txBody>
    </xdr:sp>
    <xdr:clientData/>
  </xdr:twoCellAnchor>
  <xdr:twoCellAnchor>
    <xdr:from>
      <xdr:col>3</xdr:col>
      <xdr:colOff>525780</xdr:colOff>
      <xdr:row>4</xdr:row>
      <xdr:rowOff>38100</xdr:rowOff>
    </xdr:from>
    <xdr:to>
      <xdr:col>7</xdr:col>
      <xdr:colOff>236220</xdr:colOff>
      <xdr:row>9</xdr:row>
      <xdr:rowOff>0</xdr:rowOff>
    </xdr:to>
    <xdr:sp macro="" textlink="">
      <xdr:nvSpPr>
        <xdr:cNvPr id="4" name="Rectangle: Rounded Corners 3">
          <a:extLst>
            <a:ext uri="{FF2B5EF4-FFF2-40B4-BE49-F238E27FC236}">
              <a16:creationId xmlns:a16="http://schemas.microsoft.com/office/drawing/2014/main" id="{BE8025A2-BB5E-8FF4-D2A3-B7F8D8608ABD}"/>
            </a:ext>
          </a:extLst>
        </xdr:cNvPr>
        <xdr:cNvSpPr/>
      </xdr:nvSpPr>
      <xdr:spPr>
        <a:xfrm>
          <a:off x="2461260" y="769620"/>
          <a:ext cx="2148840" cy="8763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b="1">
            <a:solidFill>
              <a:schemeClr val="accent1"/>
            </a:solidFill>
            <a:latin typeface="+mn-lt"/>
            <a:ea typeface="+mn-ea"/>
            <a:cs typeface="+mn-cs"/>
          </a:endParaRPr>
        </a:p>
      </xdr:txBody>
    </xdr:sp>
    <xdr:clientData/>
  </xdr:twoCellAnchor>
  <xdr:twoCellAnchor>
    <xdr:from>
      <xdr:col>7</xdr:col>
      <xdr:colOff>457200</xdr:colOff>
      <xdr:row>4</xdr:row>
      <xdr:rowOff>38100</xdr:rowOff>
    </xdr:from>
    <xdr:to>
      <xdr:col>11</xdr:col>
      <xdr:colOff>251460</xdr:colOff>
      <xdr:row>9</xdr:row>
      <xdr:rowOff>7620</xdr:rowOff>
    </xdr:to>
    <xdr:sp macro="" textlink="">
      <xdr:nvSpPr>
        <xdr:cNvPr id="5" name="Rectangle: Rounded Corners 4">
          <a:extLst>
            <a:ext uri="{FF2B5EF4-FFF2-40B4-BE49-F238E27FC236}">
              <a16:creationId xmlns:a16="http://schemas.microsoft.com/office/drawing/2014/main" id="{1F20B5C7-6957-F532-22BF-F681F0288394}"/>
            </a:ext>
          </a:extLst>
        </xdr:cNvPr>
        <xdr:cNvSpPr/>
      </xdr:nvSpPr>
      <xdr:spPr>
        <a:xfrm>
          <a:off x="4831080" y="769620"/>
          <a:ext cx="2232660" cy="8839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11</xdr:col>
      <xdr:colOff>335280</xdr:colOff>
      <xdr:row>4</xdr:row>
      <xdr:rowOff>38100</xdr:rowOff>
    </xdr:from>
    <xdr:to>
      <xdr:col>15</xdr:col>
      <xdr:colOff>0</xdr:colOff>
      <xdr:row>9</xdr:row>
      <xdr:rowOff>0</xdr:rowOff>
    </xdr:to>
    <xdr:sp macro="" textlink="">
      <xdr:nvSpPr>
        <xdr:cNvPr id="6" name="Rectangle: Rounded Corners 5">
          <a:extLst>
            <a:ext uri="{FF2B5EF4-FFF2-40B4-BE49-F238E27FC236}">
              <a16:creationId xmlns:a16="http://schemas.microsoft.com/office/drawing/2014/main" id="{10065B26-9DBD-D5D4-AE27-92B4FE387F8F}"/>
            </a:ext>
          </a:extLst>
        </xdr:cNvPr>
        <xdr:cNvSpPr/>
      </xdr:nvSpPr>
      <xdr:spPr>
        <a:xfrm>
          <a:off x="7147560" y="769620"/>
          <a:ext cx="2103120" cy="8763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15</xdr:col>
      <xdr:colOff>144780</xdr:colOff>
      <xdr:row>4</xdr:row>
      <xdr:rowOff>38100</xdr:rowOff>
    </xdr:from>
    <xdr:to>
      <xdr:col>18</xdr:col>
      <xdr:colOff>281940</xdr:colOff>
      <xdr:row>8</xdr:row>
      <xdr:rowOff>167640</xdr:rowOff>
    </xdr:to>
    <xdr:sp macro="" textlink="">
      <xdr:nvSpPr>
        <xdr:cNvPr id="7" name="Rectangle: Rounded Corners 6">
          <a:extLst>
            <a:ext uri="{FF2B5EF4-FFF2-40B4-BE49-F238E27FC236}">
              <a16:creationId xmlns:a16="http://schemas.microsoft.com/office/drawing/2014/main" id="{D00307AC-B19C-4DEA-B97E-84E0AD845F97}"/>
            </a:ext>
          </a:extLst>
        </xdr:cNvPr>
        <xdr:cNvSpPr/>
      </xdr:nvSpPr>
      <xdr:spPr>
        <a:xfrm>
          <a:off x="9395460" y="769620"/>
          <a:ext cx="1965960" cy="861060"/>
        </a:xfrm>
        <a:prstGeom prst="roundRect">
          <a:avLst>
            <a:gd name="adj" fmla="val 19322"/>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0</xdr:col>
      <xdr:colOff>563880</xdr:colOff>
      <xdr:row>1</xdr:row>
      <xdr:rowOff>7620</xdr:rowOff>
    </xdr:from>
    <xdr:to>
      <xdr:col>2</xdr:col>
      <xdr:colOff>571500</xdr:colOff>
      <xdr:row>7</xdr:row>
      <xdr:rowOff>91440</xdr:rowOff>
    </xdr:to>
    <xdr:sp macro="" textlink="">
      <xdr:nvSpPr>
        <xdr:cNvPr id="16" name="Oval 15">
          <a:extLst>
            <a:ext uri="{FF2B5EF4-FFF2-40B4-BE49-F238E27FC236}">
              <a16:creationId xmlns:a16="http://schemas.microsoft.com/office/drawing/2014/main" id="{29588189-C3CD-0F59-66E8-D8AFFC2AB8B3}"/>
            </a:ext>
          </a:extLst>
        </xdr:cNvPr>
        <xdr:cNvSpPr/>
      </xdr:nvSpPr>
      <xdr:spPr>
        <a:xfrm>
          <a:off x="563880" y="190500"/>
          <a:ext cx="1226820" cy="11811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3</xdr:col>
      <xdr:colOff>563880</xdr:colOff>
      <xdr:row>9</xdr:row>
      <xdr:rowOff>121920</xdr:rowOff>
    </xdr:from>
    <xdr:to>
      <xdr:col>11</xdr:col>
      <xdr:colOff>251460</xdr:colOff>
      <xdr:row>17</xdr:row>
      <xdr:rowOff>144780</xdr:rowOff>
    </xdr:to>
    <xdr:sp macro="" textlink="">
      <xdr:nvSpPr>
        <xdr:cNvPr id="17" name="Rectangle: Rounded Corners 16">
          <a:extLst>
            <a:ext uri="{FF2B5EF4-FFF2-40B4-BE49-F238E27FC236}">
              <a16:creationId xmlns:a16="http://schemas.microsoft.com/office/drawing/2014/main" id="{74CCC37A-81A8-F64D-B3B0-778320A25CF1}"/>
            </a:ext>
          </a:extLst>
        </xdr:cNvPr>
        <xdr:cNvSpPr/>
      </xdr:nvSpPr>
      <xdr:spPr>
        <a:xfrm>
          <a:off x="2499360" y="1767840"/>
          <a:ext cx="4564380" cy="14859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3</xdr:col>
      <xdr:colOff>571500</xdr:colOff>
      <xdr:row>18</xdr:row>
      <xdr:rowOff>68580</xdr:rowOff>
    </xdr:from>
    <xdr:to>
      <xdr:col>11</xdr:col>
      <xdr:colOff>251460</xdr:colOff>
      <xdr:row>26</xdr:row>
      <xdr:rowOff>137160</xdr:rowOff>
    </xdr:to>
    <xdr:sp macro="" textlink="">
      <xdr:nvSpPr>
        <xdr:cNvPr id="18" name="Rectangle: Rounded Corners 17">
          <a:extLst>
            <a:ext uri="{FF2B5EF4-FFF2-40B4-BE49-F238E27FC236}">
              <a16:creationId xmlns:a16="http://schemas.microsoft.com/office/drawing/2014/main" id="{56A951B4-E0F6-6E29-1E3C-C6BCD35F64D8}"/>
            </a:ext>
          </a:extLst>
        </xdr:cNvPr>
        <xdr:cNvSpPr/>
      </xdr:nvSpPr>
      <xdr:spPr>
        <a:xfrm>
          <a:off x="2506980" y="3360420"/>
          <a:ext cx="4556760" cy="15316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11</xdr:col>
      <xdr:colOff>335280</xdr:colOff>
      <xdr:row>9</xdr:row>
      <xdr:rowOff>99060</xdr:rowOff>
    </xdr:from>
    <xdr:to>
      <xdr:col>18</xdr:col>
      <xdr:colOff>243840</xdr:colOff>
      <xdr:row>17</xdr:row>
      <xdr:rowOff>144780</xdr:rowOff>
    </xdr:to>
    <xdr:sp macro="" textlink="">
      <xdr:nvSpPr>
        <xdr:cNvPr id="20" name="Rectangle: Rounded Corners 19">
          <a:extLst>
            <a:ext uri="{FF2B5EF4-FFF2-40B4-BE49-F238E27FC236}">
              <a16:creationId xmlns:a16="http://schemas.microsoft.com/office/drawing/2014/main" id="{5BFCA7A6-114B-47D6-8EE9-00B214229FE1}"/>
            </a:ext>
          </a:extLst>
        </xdr:cNvPr>
        <xdr:cNvSpPr/>
      </xdr:nvSpPr>
      <xdr:spPr>
        <a:xfrm>
          <a:off x="7147560" y="1744980"/>
          <a:ext cx="4175760" cy="15087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b="1">
            <a:solidFill>
              <a:schemeClr val="lt1"/>
            </a:solidFill>
            <a:latin typeface="+mn-lt"/>
            <a:ea typeface="+mn-ea"/>
            <a:cs typeface="+mn-cs"/>
          </a:endParaRPr>
        </a:p>
      </xdr:txBody>
    </xdr:sp>
    <xdr:clientData/>
  </xdr:twoCellAnchor>
  <xdr:twoCellAnchor>
    <xdr:from>
      <xdr:col>11</xdr:col>
      <xdr:colOff>335280</xdr:colOff>
      <xdr:row>18</xdr:row>
      <xdr:rowOff>99060</xdr:rowOff>
    </xdr:from>
    <xdr:to>
      <xdr:col>18</xdr:col>
      <xdr:colOff>274320</xdr:colOff>
      <xdr:row>26</xdr:row>
      <xdr:rowOff>137160</xdr:rowOff>
    </xdr:to>
    <xdr:sp macro="" textlink="">
      <xdr:nvSpPr>
        <xdr:cNvPr id="21" name="Rectangle: Rounded Corners 20">
          <a:extLst>
            <a:ext uri="{FF2B5EF4-FFF2-40B4-BE49-F238E27FC236}">
              <a16:creationId xmlns:a16="http://schemas.microsoft.com/office/drawing/2014/main" id="{D732A613-4E7E-4BF8-B4E7-4B965BB4BDA1}"/>
            </a:ext>
          </a:extLst>
        </xdr:cNvPr>
        <xdr:cNvSpPr/>
      </xdr:nvSpPr>
      <xdr:spPr>
        <a:xfrm>
          <a:off x="7147560" y="3390900"/>
          <a:ext cx="4206240" cy="15011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18</xdr:col>
      <xdr:colOff>381000</xdr:colOff>
      <xdr:row>15</xdr:row>
      <xdr:rowOff>30480</xdr:rowOff>
    </xdr:from>
    <xdr:to>
      <xdr:col>22</xdr:col>
      <xdr:colOff>243840</xdr:colOff>
      <xdr:row>26</xdr:row>
      <xdr:rowOff>137160</xdr:rowOff>
    </xdr:to>
    <xdr:sp macro="" textlink="">
      <xdr:nvSpPr>
        <xdr:cNvPr id="22" name="Rectangle: Rounded Corners 21">
          <a:extLst>
            <a:ext uri="{FF2B5EF4-FFF2-40B4-BE49-F238E27FC236}">
              <a16:creationId xmlns:a16="http://schemas.microsoft.com/office/drawing/2014/main" id="{03D74385-C672-1DE4-86F1-7A8A8305E8ED}"/>
            </a:ext>
          </a:extLst>
        </xdr:cNvPr>
        <xdr:cNvSpPr/>
      </xdr:nvSpPr>
      <xdr:spPr>
        <a:xfrm>
          <a:off x="11460480" y="2773680"/>
          <a:ext cx="2316480" cy="21183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xdr:from>
      <xdr:col>18</xdr:col>
      <xdr:colOff>381000</xdr:colOff>
      <xdr:row>4</xdr:row>
      <xdr:rowOff>38100</xdr:rowOff>
    </xdr:from>
    <xdr:to>
      <xdr:col>22</xdr:col>
      <xdr:colOff>259080</xdr:colOff>
      <xdr:row>14</xdr:row>
      <xdr:rowOff>15240</xdr:rowOff>
    </xdr:to>
    <xdr:sp macro="" textlink="">
      <xdr:nvSpPr>
        <xdr:cNvPr id="23" name="Rectangle: Rounded Corners 22">
          <a:extLst>
            <a:ext uri="{FF2B5EF4-FFF2-40B4-BE49-F238E27FC236}">
              <a16:creationId xmlns:a16="http://schemas.microsoft.com/office/drawing/2014/main" id="{E0FA04C0-5641-4CEB-8ACD-4EB605B8BBEC}"/>
            </a:ext>
          </a:extLst>
        </xdr:cNvPr>
        <xdr:cNvSpPr/>
      </xdr:nvSpPr>
      <xdr:spPr>
        <a:xfrm>
          <a:off x="11460480" y="769620"/>
          <a:ext cx="2331720" cy="18059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S" sz="1100">
            <a:solidFill>
              <a:schemeClr val="lt1"/>
            </a:solidFill>
            <a:latin typeface="+mn-lt"/>
            <a:ea typeface="+mn-ea"/>
            <a:cs typeface="+mn-cs"/>
          </a:endParaRPr>
        </a:p>
      </xdr:txBody>
    </xdr:sp>
    <xdr:clientData/>
  </xdr:twoCellAnchor>
  <xdr:twoCellAnchor editAs="oneCell">
    <xdr:from>
      <xdr:col>0</xdr:col>
      <xdr:colOff>601981</xdr:colOff>
      <xdr:row>1</xdr:row>
      <xdr:rowOff>7621</xdr:rowOff>
    </xdr:from>
    <xdr:to>
      <xdr:col>2</xdr:col>
      <xdr:colOff>533400</xdr:colOff>
      <xdr:row>7</xdr:row>
      <xdr:rowOff>60960</xdr:rowOff>
    </xdr:to>
    <xdr:pic>
      <xdr:nvPicPr>
        <xdr:cNvPr id="24" name="Picture 23">
          <a:extLst>
            <a:ext uri="{FF2B5EF4-FFF2-40B4-BE49-F238E27FC236}">
              <a16:creationId xmlns:a16="http://schemas.microsoft.com/office/drawing/2014/main" id="{3F07BCBC-E7F5-7424-B501-464474D33684}"/>
            </a:ext>
          </a:extLst>
        </xdr:cNvPr>
        <xdr:cNvPicPr>
          <a:picLocks noChangeAspect="1"/>
        </xdr:cNvPicPr>
      </xdr:nvPicPr>
      <xdr:blipFill>
        <a:blip xmlns:r="http://schemas.openxmlformats.org/officeDocument/2006/relationships" r:embed="rId1"/>
        <a:stretch>
          <a:fillRect/>
        </a:stretch>
      </xdr:blipFill>
      <xdr:spPr>
        <a:xfrm>
          <a:off x="601981" y="190501"/>
          <a:ext cx="1150619" cy="115061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0</xdr:col>
      <xdr:colOff>259080</xdr:colOff>
      <xdr:row>11</xdr:row>
      <xdr:rowOff>175260</xdr:rowOff>
    </xdr:from>
    <xdr:to>
      <xdr:col>3</xdr:col>
      <xdr:colOff>350520</xdr:colOff>
      <xdr:row>15</xdr:row>
      <xdr:rowOff>175260</xdr:rowOff>
    </xdr:to>
    <mc:AlternateContent xmlns:mc="http://schemas.openxmlformats.org/markup-compatibility/2006" xmlns:a14="http://schemas.microsoft.com/office/drawing/2010/main">
      <mc:Choice Requires="a14">
        <xdr:graphicFrame macro="">
          <xdr:nvGraphicFramePr>
            <xdr:cNvPr id="27" name="الحالة 1">
              <a:extLst>
                <a:ext uri="{FF2B5EF4-FFF2-40B4-BE49-F238E27FC236}">
                  <a16:creationId xmlns:a16="http://schemas.microsoft.com/office/drawing/2014/main" id="{E41E23ED-0C9B-4022-B72C-D5E70ABA0054}"/>
                </a:ext>
              </a:extLst>
            </xdr:cNvPr>
            <xdr:cNvGraphicFramePr/>
          </xdr:nvGraphicFramePr>
          <xdr:xfrm>
            <a:off x="0" y="0"/>
            <a:ext cx="0" cy="0"/>
          </xdr:xfrm>
          <a:graphic>
            <a:graphicData uri="http://schemas.microsoft.com/office/drawing/2010/slicer">
              <sle:slicer xmlns:sle="http://schemas.microsoft.com/office/drawing/2010/slicer" name="الحالة 1"/>
            </a:graphicData>
          </a:graphic>
        </xdr:graphicFrame>
      </mc:Choice>
      <mc:Fallback xmlns="">
        <xdr:sp macro="" textlink="">
          <xdr:nvSpPr>
            <xdr:cNvPr id="0" name=""/>
            <xdr:cNvSpPr>
              <a:spLocks noTextEdit="1"/>
            </xdr:cNvSpPr>
          </xdr:nvSpPr>
          <xdr:spPr>
            <a:xfrm>
              <a:off x="259080" y="2186940"/>
              <a:ext cx="2026920" cy="73152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7</xdr:row>
      <xdr:rowOff>175260</xdr:rowOff>
    </xdr:from>
    <xdr:to>
      <xdr:col>3</xdr:col>
      <xdr:colOff>358140</xdr:colOff>
      <xdr:row>11</xdr:row>
      <xdr:rowOff>99060</xdr:rowOff>
    </xdr:to>
    <mc:AlternateContent xmlns:mc="http://schemas.openxmlformats.org/markup-compatibility/2006" xmlns:a14="http://schemas.microsoft.com/office/drawing/2010/main">
      <mc:Choice Requires="a14">
        <xdr:graphicFrame macro="">
          <xdr:nvGraphicFramePr>
            <xdr:cNvPr id="25" name="نوع العميل  1">
              <a:extLst>
                <a:ext uri="{FF2B5EF4-FFF2-40B4-BE49-F238E27FC236}">
                  <a16:creationId xmlns:a16="http://schemas.microsoft.com/office/drawing/2014/main" id="{0DD3D50E-DA27-49F6-B957-2F3F6EC5679C}"/>
                </a:ext>
              </a:extLst>
            </xdr:cNvPr>
            <xdr:cNvGraphicFramePr/>
          </xdr:nvGraphicFramePr>
          <xdr:xfrm>
            <a:off x="0" y="0"/>
            <a:ext cx="0" cy="0"/>
          </xdr:xfrm>
          <a:graphic>
            <a:graphicData uri="http://schemas.microsoft.com/office/drawing/2010/slicer">
              <sle:slicer xmlns:sle="http://schemas.microsoft.com/office/drawing/2010/slicer" name="نوع العميل  1"/>
            </a:graphicData>
          </a:graphic>
        </xdr:graphicFrame>
      </mc:Choice>
      <mc:Fallback xmlns="">
        <xdr:sp macro="" textlink="">
          <xdr:nvSpPr>
            <xdr:cNvPr id="0" name=""/>
            <xdr:cNvSpPr>
              <a:spLocks noTextEdit="1"/>
            </xdr:cNvSpPr>
          </xdr:nvSpPr>
          <xdr:spPr>
            <a:xfrm>
              <a:off x="259080" y="1455420"/>
              <a:ext cx="2034540" cy="65532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15</xdr:row>
      <xdr:rowOff>121918</xdr:rowOff>
    </xdr:from>
    <xdr:to>
      <xdr:col>3</xdr:col>
      <xdr:colOff>339600</xdr:colOff>
      <xdr:row>25</xdr:row>
      <xdr:rowOff>129539</xdr:rowOff>
    </xdr:to>
    <mc:AlternateContent xmlns:mc="http://schemas.openxmlformats.org/markup-compatibility/2006" xmlns:a14="http://schemas.microsoft.com/office/drawing/2010/main">
      <mc:Choice Requires="a14">
        <xdr:graphicFrame macro="">
          <xdr:nvGraphicFramePr>
            <xdr:cNvPr id="29" name="المحافظة 1">
              <a:extLst>
                <a:ext uri="{FF2B5EF4-FFF2-40B4-BE49-F238E27FC236}">
                  <a16:creationId xmlns:a16="http://schemas.microsoft.com/office/drawing/2014/main" id="{DA2994E7-40B8-4A99-892D-EDADF626FE00}"/>
                </a:ext>
              </a:extLst>
            </xdr:cNvPr>
            <xdr:cNvGraphicFramePr/>
          </xdr:nvGraphicFramePr>
          <xdr:xfrm>
            <a:off x="0" y="0"/>
            <a:ext cx="0" cy="0"/>
          </xdr:xfrm>
          <a:graphic>
            <a:graphicData uri="http://schemas.microsoft.com/office/drawing/2010/slicer">
              <sle:slicer xmlns:sle="http://schemas.microsoft.com/office/drawing/2010/slicer" name="المحافظة 1"/>
            </a:graphicData>
          </a:graphic>
        </xdr:graphicFrame>
      </mc:Choice>
      <mc:Fallback xmlns="">
        <xdr:sp macro="" textlink="">
          <xdr:nvSpPr>
            <xdr:cNvPr id="0" name=""/>
            <xdr:cNvSpPr>
              <a:spLocks noTextEdit="1"/>
            </xdr:cNvSpPr>
          </xdr:nvSpPr>
          <xdr:spPr>
            <a:xfrm>
              <a:off x="259080" y="2865118"/>
              <a:ext cx="2016000" cy="1836421"/>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518160</xdr:colOff>
      <xdr:row>0</xdr:row>
      <xdr:rowOff>137160</xdr:rowOff>
    </xdr:from>
    <xdr:to>
      <xdr:col>22</xdr:col>
      <xdr:colOff>99060</xdr:colOff>
      <xdr:row>2</xdr:row>
      <xdr:rowOff>160020</xdr:rowOff>
    </xdr:to>
    <xdr:sp macro="" textlink="">
      <xdr:nvSpPr>
        <xdr:cNvPr id="30" name="TextBox 29">
          <a:extLst>
            <a:ext uri="{FF2B5EF4-FFF2-40B4-BE49-F238E27FC236}">
              <a16:creationId xmlns:a16="http://schemas.microsoft.com/office/drawing/2014/main" id="{6B0ACAF7-DB9C-BF61-B03C-8ACB6F7CEEA3}"/>
            </a:ext>
          </a:extLst>
        </xdr:cNvPr>
        <xdr:cNvSpPr txBox="1"/>
      </xdr:nvSpPr>
      <xdr:spPr>
        <a:xfrm>
          <a:off x="10988040" y="137160"/>
          <a:ext cx="2644140" cy="3886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rPr>
            <a:t>Sales</a:t>
          </a:r>
          <a:r>
            <a:rPr lang="en-US" sz="2800" b="1" baseline="0">
              <a:solidFill>
                <a:schemeClr val="bg1"/>
              </a:solidFill>
            </a:rPr>
            <a:t> Dashboard</a:t>
          </a:r>
        </a:p>
        <a:p>
          <a:endParaRPr lang="en-AS" sz="1100"/>
        </a:p>
      </xdr:txBody>
    </xdr:sp>
    <xdr:clientData/>
  </xdr:twoCellAnchor>
  <xdr:twoCellAnchor>
    <xdr:from>
      <xdr:col>3</xdr:col>
      <xdr:colOff>601980</xdr:colOff>
      <xdr:row>0</xdr:row>
      <xdr:rowOff>144780</xdr:rowOff>
    </xdr:from>
    <xdr:to>
      <xdr:col>6</xdr:col>
      <xdr:colOff>274320</xdr:colOff>
      <xdr:row>3</xdr:row>
      <xdr:rowOff>30480</xdr:rowOff>
    </xdr:to>
    <xdr:sp macro="" textlink="">
      <xdr:nvSpPr>
        <xdr:cNvPr id="31" name="TextBox 30">
          <a:extLst>
            <a:ext uri="{FF2B5EF4-FFF2-40B4-BE49-F238E27FC236}">
              <a16:creationId xmlns:a16="http://schemas.microsoft.com/office/drawing/2014/main" id="{36F04535-8C0B-AEB0-B409-C1B5A01F6AE2}"/>
            </a:ext>
          </a:extLst>
        </xdr:cNvPr>
        <xdr:cNvSpPr txBox="1"/>
      </xdr:nvSpPr>
      <xdr:spPr>
        <a:xfrm>
          <a:off x="2537460" y="144780"/>
          <a:ext cx="1501140" cy="4343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MISUO</a:t>
          </a:r>
          <a:r>
            <a:rPr lang="ar-EG" sz="2400" b="1">
              <a:solidFill>
                <a:schemeClr val="bg1"/>
              </a:solidFill>
            </a:rPr>
            <a:t>  </a:t>
          </a:r>
          <a:endParaRPr lang="en-AS" sz="2400" b="1">
            <a:solidFill>
              <a:schemeClr val="bg1"/>
            </a:solidFill>
          </a:endParaRPr>
        </a:p>
      </xdr:txBody>
    </xdr:sp>
    <xdr:clientData/>
  </xdr:twoCellAnchor>
  <xdr:twoCellAnchor>
    <xdr:from>
      <xdr:col>9</xdr:col>
      <xdr:colOff>487680</xdr:colOff>
      <xdr:row>0</xdr:row>
      <xdr:rowOff>137160</xdr:rowOff>
    </xdr:from>
    <xdr:to>
      <xdr:col>11</xdr:col>
      <xdr:colOff>358140</xdr:colOff>
      <xdr:row>3</xdr:row>
      <xdr:rowOff>15240</xdr:rowOff>
    </xdr:to>
    <xdr:sp macro="" textlink="">
      <xdr:nvSpPr>
        <xdr:cNvPr id="32" name="TextBox 31">
          <a:extLst>
            <a:ext uri="{FF2B5EF4-FFF2-40B4-BE49-F238E27FC236}">
              <a16:creationId xmlns:a16="http://schemas.microsoft.com/office/drawing/2014/main" id="{B60CEAE1-8446-E8C0-64E1-F7DF4AEAB912}"/>
            </a:ext>
          </a:extLst>
        </xdr:cNvPr>
        <xdr:cNvSpPr txBox="1"/>
      </xdr:nvSpPr>
      <xdr:spPr>
        <a:xfrm>
          <a:off x="6080760" y="137160"/>
          <a:ext cx="1089660" cy="4267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S" sz="1100">
              <a:latin typeface="Concert One" panose="020F0502020204030204" pitchFamily="2" charset="0"/>
            </a:rPr>
            <a:t>  </a:t>
          </a:r>
          <a:endParaRPr lang="en-AS" sz="1100"/>
        </a:p>
      </xdr:txBody>
    </xdr:sp>
    <xdr:clientData/>
  </xdr:twoCellAnchor>
  <xdr:twoCellAnchor editAs="oneCell">
    <xdr:from>
      <xdr:col>11</xdr:col>
      <xdr:colOff>22860</xdr:colOff>
      <xdr:row>0</xdr:row>
      <xdr:rowOff>91440</xdr:rowOff>
    </xdr:from>
    <xdr:to>
      <xdr:col>12</xdr:col>
      <xdr:colOff>83820</xdr:colOff>
      <xdr:row>4</xdr:row>
      <xdr:rowOff>30480</xdr:rowOff>
    </xdr:to>
    <xdr:pic>
      <xdr:nvPicPr>
        <xdr:cNvPr id="38" name="Graphic 37" descr="Work from home house outline">
          <a:extLst>
            <a:ext uri="{FF2B5EF4-FFF2-40B4-BE49-F238E27FC236}">
              <a16:creationId xmlns:a16="http://schemas.microsoft.com/office/drawing/2014/main" id="{2E46E53B-F7B2-5E6B-0A37-1A364BEA99B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35140" y="91440"/>
          <a:ext cx="670560" cy="670560"/>
        </a:xfrm>
        <a:prstGeom prst="rect">
          <a:avLst/>
        </a:prstGeom>
      </xdr:spPr>
    </xdr:pic>
    <xdr:clientData/>
  </xdr:twoCellAnchor>
  <xdr:twoCellAnchor>
    <xdr:from>
      <xdr:col>4</xdr:col>
      <xdr:colOff>99060</xdr:colOff>
      <xdr:row>4</xdr:row>
      <xdr:rowOff>53340</xdr:rowOff>
    </xdr:from>
    <xdr:to>
      <xdr:col>6</xdr:col>
      <xdr:colOff>525780</xdr:colOff>
      <xdr:row>7</xdr:row>
      <xdr:rowOff>68580</xdr:rowOff>
    </xdr:to>
    <xdr:sp macro="" textlink="">
      <xdr:nvSpPr>
        <xdr:cNvPr id="39" name="TextBox 38">
          <a:extLst>
            <a:ext uri="{FF2B5EF4-FFF2-40B4-BE49-F238E27FC236}">
              <a16:creationId xmlns:a16="http://schemas.microsoft.com/office/drawing/2014/main" id="{4AF43975-9EEC-ED73-9E88-4E99815D322A}"/>
            </a:ext>
          </a:extLst>
        </xdr:cNvPr>
        <xdr:cNvSpPr txBox="1"/>
      </xdr:nvSpPr>
      <xdr:spPr>
        <a:xfrm>
          <a:off x="2644140" y="784860"/>
          <a:ext cx="1645920" cy="5638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1">
              <a:solidFill>
                <a:schemeClr val="bg1"/>
              </a:solidFill>
              <a:latin typeface="+mn-lt"/>
              <a:ea typeface="+mn-ea"/>
              <a:cs typeface="+mn-cs"/>
            </a:rPr>
            <a:t>Total Sales</a:t>
          </a:r>
          <a:endParaRPr lang="en-AS" sz="2400" b="1">
            <a:solidFill>
              <a:schemeClr val="bg1"/>
            </a:solidFill>
            <a:latin typeface="+mn-lt"/>
            <a:ea typeface="+mn-ea"/>
            <a:cs typeface="+mn-cs"/>
          </a:endParaRPr>
        </a:p>
      </xdr:txBody>
    </xdr:sp>
    <xdr:clientData/>
  </xdr:twoCellAnchor>
  <xdr:twoCellAnchor>
    <xdr:from>
      <xdr:col>7</xdr:col>
      <xdr:colOff>548640</xdr:colOff>
      <xdr:row>4</xdr:row>
      <xdr:rowOff>76200</xdr:rowOff>
    </xdr:from>
    <xdr:to>
      <xdr:col>11</xdr:col>
      <xdr:colOff>160020</xdr:colOff>
      <xdr:row>6</xdr:row>
      <xdr:rowOff>99060</xdr:rowOff>
    </xdr:to>
    <xdr:sp macro="" textlink="">
      <xdr:nvSpPr>
        <xdr:cNvPr id="41" name="TextBox 40">
          <a:extLst>
            <a:ext uri="{FF2B5EF4-FFF2-40B4-BE49-F238E27FC236}">
              <a16:creationId xmlns:a16="http://schemas.microsoft.com/office/drawing/2014/main" id="{6E7D0EF5-AB87-F3D9-50DD-3ACC9397D7F1}"/>
            </a:ext>
          </a:extLst>
        </xdr:cNvPr>
        <xdr:cNvSpPr txBox="1"/>
      </xdr:nvSpPr>
      <xdr:spPr>
        <a:xfrm>
          <a:off x="4922520" y="807720"/>
          <a:ext cx="2049780" cy="3886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Average Selling Price</a:t>
          </a:r>
          <a:endParaRPr lang="en-AS" sz="1600" b="1">
            <a:solidFill>
              <a:schemeClr val="bg1"/>
            </a:solidFill>
          </a:endParaRPr>
        </a:p>
      </xdr:txBody>
    </xdr:sp>
    <xdr:clientData/>
  </xdr:twoCellAnchor>
  <xdr:twoCellAnchor>
    <xdr:from>
      <xdr:col>11</xdr:col>
      <xdr:colOff>449580</xdr:colOff>
      <xdr:row>4</xdr:row>
      <xdr:rowOff>53340</xdr:rowOff>
    </xdr:from>
    <xdr:to>
      <xdr:col>14</xdr:col>
      <xdr:colOff>518160</xdr:colOff>
      <xdr:row>6</xdr:row>
      <xdr:rowOff>137160</xdr:rowOff>
    </xdr:to>
    <xdr:sp macro="" textlink="">
      <xdr:nvSpPr>
        <xdr:cNvPr id="42" name="TextBox 41">
          <a:extLst>
            <a:ext uri="{FF2B5EF4-FFF2-40B4-BE49-F238E27FC236}">
              <a16:creationId xmlns:a16="http://schemas.microsoft.com/office/drawing/2014/main" id="{077DCB19-C36F-CDB9-A809-3ECA555846C7}"/>
            </a:ext>
          </a:extLst>
        </xdr:cNvPr>
        <xdr:cNvSpPr txBox="1"/>
      </xdr:nvSpPr>
      <xdr:spPr>
        <a:xfrm>
          <a:off x="7261860" y="784860"/>
          <a:ext cx="1897380" cy="4495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1">
              <a:solidFill>
                <a:schemeClr val="bg1"/>
              </a:solidFill>
              <a:latin typeface="+mn-lt"/>
              <a:ea typeface="+mn-ea"/>
              <a:cs typeface="+mn-cs"/>
            </a:rPr>
            <a:t>Total Orders</a:t>
          </a:r>
          <a:endParaRPr lang="en-AS" sz="2400" b="1">
            <a:solidFill>
              <a:schemeClr val="bg1"/>
            </a:solidFill>
            <a:latin typeface="+mn-lt"/>
            <a:ea typeface="+mn-ea"/>
            <a:cs typeface="+mn-cs"/>
          </a:endParaRPr>
        </a:p>
      </xdr:txBody>
    </xdr:sp>
    <xdr:clientData/>
  </xdr:twoCellAnchor>
  <xdr:twoCellAnchor>
    <xdr:from>
      <xdr:col>15</xdr:col>
      <xdr:colOff>190500</xdr:colOff>
      <xdr:row>4</xdr:row>
      <xdr:rowOff>68580</xdr:rowOff>
    </xdr:from>
    <xdr:to>
      <xdr:col>18</xdr:col>
      <xdr:colOff>152400</xdr:colOff>
      <xdr:row>6</xdr:row>
      <xdr:rowOff>60960</xdr:rowOff>
    </xdr:to>
    <xdr:sp macro="" textlink="">
      <xdr:nvSpPr>
        <xdr:cNvPr id="43" name="TextBox 42">
          <a:extLst>
            <a:ext uri="{FF2B5EF4-FFF2-40B4-BE49-F238E27FC236}">
              <a16:creationId xmlns:a16="http://schemas.microsoft.com/office/drawing/2014/main" id="{5FDB128E-D873-3BB7-E3BD-7FDA113CA816}"/>
            </a:ext>
          </a:extLst>
        </xdr:cNvPr>
        <xdr:cNvSpPr txBox="1"/>
      </xdr:nvSpPr>
      <xdr:spPr>
        <a:xfrm>
          <a:off x="9441180" y="800100"/>
          <a:ext cx="1790700" cy="3581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200" b="1">
              <a:solidFill>
                <a:schemeClr val="bg1"/>
              </a:solidFill>
              <a:latin typeface="+mn-lt"/>
              <a:ea typeface="+mn-ea"/>
              <a:cs typeface="+mn-cs"/>
            </a:rPr>
            <a:t>Delivery Time</a:t>
          </a:r>
          <a:endParaRPr lang="en-AS" sz="2200" b="1">
            <a:solidFill>
              <a:schemeClr val="bg1"/>
            </a:solidFill>
            <a:latin typeface="+mn-lt"/>
            <a:ea typeface="+mn-ea"/>
            <a:cs typeface="+mn-cs"/>
          </a:endParaRPr>
        </a:p>
      </xdr:txBody>
    </xdr:sp>
    <xdr:clientData/>
  </xdr:twoCellAnchor>
  <xdr:twoCellAnchor>
    <xdr:from>
      <xdr:col>4</xdr:col>
      <xdr:colOff>220980</xdr:colOff>
      <xdr:row>6</xdr:row>
      <xdr:rowOff>137160</xdr:rowOff>
    </xdr:from>
    <xdr:to>
      <xdr:col>6</xdr:col>
      <xdr:colOff>182880</xdr:colOff>
      <xdr:row>8</xdr:row>
      <xdr:rowOff>106680</xdr:rowOff>
    </xdr:to>
    <xdr:sp macro="" textlink="'Pivot Table'!A2">
      <xdr:nvSpPr>
        <xdr:cNvPr id="45" name="TextBox 44">
          <a:extLst>
            <a:ext uri="{FF2B5EF4-FFF2-40B4-BE49-F238E27FC236}">
              <a16:creationId xmlns:a16="http://schemas.microsoft.com/office/drawing/2014/main" id="{BAF4E3E6-36E5-E8FD-8E52-763091C027E0}"/>
            </a:ext>
          </a:extLst>
        </xdr:cNvPr>
        <xdr:cNvSpPr txBox="1"/>
      </xdr:nvSpPr>
      <xdr:spPr>
        <a:xfrm>
          <a:off x="2766060" y="1234440"/>
          <a:ext cx="1181100" cy="3352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9E48A7-1D7D-4E78-B144-51C644A478D2}" type="TxLink">
            <a:rPr lang="en-US" sz="1600" b="1" i="0" u="none" strike="noStrike">
              <a:solidFill>
                <a:srgbClr val="860000"/>
              </a:solidFill>
              <a:latin typeface="Calibri"/>
              <a:ea typeface="Calibri"/>
              <a:cs typeface="Calibri"/>
            </a:rPr>
            <a:pPr/>
            <a:t>$196,772</a:t>
          </a:fld>
          <a:endParaRPr lang="en-US" sz="1600" b="1">
            <a:solidFill>
              <a:srgbClr val="860000"/>
            </a:solidFill>
          </a:endParaRPr>
        </a:p>
      </xdr:txBody>
    </xdr:sp>
    <xdr:clientData/>
  </xdr:twoCellAnchor>
  <xdr:twoCellAnchor editAs="oneCell">
    <xdr:from>
      <xdr:col>6</xdr:col>
      <xdr:colOff>228600</xdr:colOff>
      <xdr:row>6</xdr:row>
      <xdr:rowOff>45720</xdr:rowOff>
    </xdr:from>
    <xdr:to>
      <xdr:col>7</xdr:col>
      <xdr:colOff>121920</xdr:colOff>
      <xdr:row>9</xdr:row>
      <xdr:rowOff>0</xdr:rowOff>
    </xdr:to>
    <xdr:pic>
      <xdr:nvPicPr>
        <xdr:cNvPr id="47" name="Graphic 46" descr="Money with solid fill">
          <a:extLst>
            <a:ext uri="{FF2B5EF4-FFF2-40B4-BE49-F238E27FC236}">
              <a16:creationId xmlns:a16="http://schemas.microsoft.com/office/drawing/2014/main" id="{DE9F59C0-B4E9-9F20-D3ED-338F5A18B66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92880" y="1143000"/>
          <a:ext cx="502920" cy="502920"/>
        </a:xfrm>
        <a:prstGeom prst="rect">
          <a:avLst/>
        </a:prstGeom>
      </xdr:spPr>
    </xdr:pic>
    <xdr:clientData/>
  </xdr:twoCellAnchor>
  <xdr:twoCellAnchor editAs="oneCell">
    <xdr:from>
      <xdr:col>10</xdr:col>
      <xdr:colOff>38100</xdr:colOff>
      <xdr:row>6</xdr:row>
      <xdr:rowOff>45720</xdr:rowOff>
    </xdr:from>
    <xdr:to>
      <xdr:col>10</xdr:col>
      <xdr:colOff>464820</xdr:colOff>
      <xdr:row>8</xdr:row>
      <xdr:rowOff>106680</xdr:rowOff>
    </xdr:to>
    <xdr:pic>
      <xdr:nvPicPr>
        <xdr:cNvPr id="49" name="Graphic 48" descr="Coins with solid fill">
          <a:extLst>
            <a:ext uri="{FF2B5EF4-FFF2-40B4-BE49-F238E27FC236}">
              <a16:creationId xmlns:a16="http://schemas.microsoft.com/office/drawing/2014/main" id="{614665AE-22C1-FE51-663C-F7D15A20EC8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40780" y="1143000"/>
          <a:ext cx="426720" cy="426720"/>
        </a:xfrm>
        <a:prstGeom prst="rect">
          <a:avLst/>
        </a:prstGeom>
      </xdr:spPr>
    </xdr:pic>
    <xdr:clientData/>
  </xdr:twoCellAnchor>
  <xdr:twoCellAnchor>
    <xdr:from>
      <xdr:col>8</xdr:col>
      <xdr:colOff>53340</xdr:colOff>
      <xdr:row>6</xdr:row>
      <xdr:rowOff>106680</xdr:rowOff>
    </xdr:from>
    <xdr:to>
      <xdr:col>9</xdr:col>
      <xdr:colOff>571500</xdr:colOff>
      <xdr:row>8</xdr:row>
      <xdr:rowOff>22860</xdr:rowOff>
    </xdr:to>
    <xdr:sp macro="" textlink="'Pivot Table'!D2">
      <xdr:nvSpPr>
        <xdr:cNvPr id="50" name="TextBox 49">
          <a:extLst>
            <a:ext uri="{FF2B5EF4-FFF2-40B4-BE49-F238E27FC236}">
              <a16:creationId xmlns:a16="http://schemas.microsoft.com/office/drawing/2014/main" id="{9DFB50E5-50EE-8C51-29EB-B4B2B6E64BA2}"/>
            </a:ext>
          </a:extLst>
        </xdr:cNvPr>
        <xdr:cNvSpPr txBox="1"/>
      </xdr:nvSpPr>
      <xdr:spPr>
        <a:xfrm>
          <a:off x="5036820" y="1203960"/>
          <a:ext cx="1127760" cy="2819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EAB8EA5-0209-462F-A24E-12E6779C0CDB}" type="TxLink">
            <a:rPr lang="en-US" sz="1600" b="1" i="0" u="none" strike="noStrike">
              <a:solidFill>
                <a:srgbClr val="860000"/>
              </a:solidFill>
              <a:latin typeface="Calibri"/>
              <a:ea typeface="Calibri"/>
              <a:cs typeface="Calibri"/>
            </a:rPr>
            <a:pPr marL="0" indent="0"/>
            <a:t>$10,932</a:t>
          </a:fld>
          <a:endParaRPr lang="en-AS" sz="1600" b="1" i="0" u="none" strike="noStrike">
            <a:solidFill>
              <a:srgbClr val="860000"/>
            </a:solidFill>
            <a:latin typeface="Calibri"/>
            <a:ea typeface="Calibri"/>
            <a:cs typeface="Calibri"/>
          </a:endParaRPr>
        </a:p>
      </xdr:txBody>
    </xdr:sp>
    <xdr:clientData/>
  </xdr:twoCellAnchor>
  <xdr:twoCellAnchor>
    <xdr:from>
      <xdr:col>12</xdr:col>
      <xdr:colOff>68580</xdr:colOff>
      <xdr:row>6</xdr:row>
      <xdr:rowOff>83820</xdr:rowOff>
    </xdr:from>
    <xdr:to>
      <xdr:col>13</xdr:col>
      <xdr:colOff>403860</xdr:colOff>
      <xdr:row>8</xdr:row>
      <xdr:rowOff>38100</xdr:rowOff>
    </xdr:to>
    <xdr:sp macro="" textlink="'Pivot Table'!G2">
      <xdr:nvSpPr>
        <xdr:cNvPr id="52" name="TextBox 51">
          <a:extLst>
            <a:ext uri="{FF2B5EF4-FFF2-40B4-BE49-F238E27FC236}">
              <a16:creationId xmlns:a16="http://schemas.microsoft.com/office/drawing/2014/main" id="{F88F99CC-0766-A92C-C433-22F493D7838B}"/>
            </a:ext>
          </a:extLst>
        </xdr:cNvPr>
        <xdr:cNvSpPr txBox="1"/>
      </xdr:nvSpPr>
      <xdr:spPr>
        <a:xfrm>
          <a:off x="7490460" y="1181100"/>
          <a:ext cx="944880" cy="3200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E91D1E9-40FA-4A5B-BDDF-AAC0EAD917C4}" type="TxLink">
            <a:rPr lang="en-US" sz="2000" b="1" i="0" u="none" strike="noStrike">
              <a:solidFill>
                <a:srgbClr val="860000"/>
              </a:solidFill>
              <a:latin typeface="Calibri"/>
              <a:ea typeface="Calibri"/>
              <a:cs typeface="Calibri"/>
            </a:rPr>
            <a:pPr marL="0" indent="0"/>
            <a:t>18</a:t>
          </a:fld>
          <a:endParaRPr lang="en-AS" sz="2000" b="1" i="0" u="none" strike="noStrike">
            <a:solidFill>
              <a:srgbClr val="860000"/>
            </a:solidFill>
            <a:latin typeface="Calibri"/>
            <a:ea typeface="Calibri"/>
            <a:cs typeface="Calibri"/>
          </a:endParaRPr>
        </a:p>
      </xdr:txBody>
    </xdr:sp>
    <xdr:clientData/>
  </xdr:twoCellAnchor>
  <xdr:twoCellAnchor editAs="oneCell">
    <xdr:from>
      <xdr:col>13</xdr:col>
      <xdr:colOff>327660</xdr:colOff>
      <xdr:row>6</xdr:row>
      <xdr:rowOff>99060</xdr:rowOff>
    </xdr:from>
    <xdr:to>
      <xdr:col>14</xdr:col>
      <xdr:colOff>160020</xdr:colOff>
      <xdr:row>8</xdr:row>
      <xdr:rowOff>175260</xdr:rowOff>
    </xdr:to>
    <xdr:pic>
      <xdr:nvPicPr>
        <xdr:cNvPr id="58" name="Graphic 57" descr="Tag with solid fill">
          <a:extLst>
            <a:ext uri="{FF2B5EF4-FFF2-40B4-BE49-F238E27FC236}">
              <a16:creationId xmlns:a16="http://schemas.microsoft.com/office/drawing/2014/main" id="{C91759F7-6703-CBD3-4969-F0715D80D0E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359140" y="1196340"/>
          <a:ext cx="441960" cy="441960"/>
        </a:xfrm>
        <a:prstGeom prst="rect">
          <a:avLst/>
        </a:prstGeom>
      </xdr:spPr>
    </xdr:pic>
    <xdr:clientData/>
  </xdr:twoCellAnchor>
  <xdr:twoCellAnchor>
    <xdr:from>
      <xdr:col>15</xdr:col>
      <xdr:colOff>426720</xdr:colOff>
      <xdr:row>6</xdr:row>
      <xdr:rowOff>99060</xdr:rowOff>
    </xdr:from>
    <xdr:to>
      <xdr:col>16</xdr:col>
      <xdr:colOff>381000</xdr:colOff>
      <xdr:row>8</xdr:row>
      <xdr:rowOff>160020</xdr:rowOff>
    </xdr:to>
    <xdr:sp macro="" textlink="'Pivot Table'!AN2">
      <xdr:nvSpPr>
        <xdr:cNvPr id="59" name="TextBox 58">
          <a:extLst>
            <a:ext uri="{FF2B5EF4-FFF2-40B4-BE49-F238E27FC236}">
              <a16:creationId xmlns:a16="http://schemas.microsoft.com/office/drawing/2014/main" id="{49E77C9F-F13D-F557-CAC5-0EEF4F0F3EE4}"/>
            </a:ext>
          </a:extLst>
        </xdr:cNvPr>
        <xdr:cNvSpPr txBox="1"/>
      </xdr:nvSpPr>
      <xdr:spPr>
        <a:xfrm>
          <a:off x="9677400" y="1196340"/>
          <a:ext cx="563880" cy="4267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944F479-7BD1-4C57-8F21-8104F50CF538}" type="TxLink">
            <a:rPr lang="en-US" sz="2000" b="1" i="0" u="none" strike="noStrike">
              <a:solidFill>
                <a:srgbClr val="860000"/>
              </a:solidFill>
              <a:latin typeface="Calibri"/>
              <a:ea typeface="Calibri"/>
              <a:cs typeface="Calibri"/>
            </a:rPr>
            <a:pPr marL="0" indent="0"/>
            <a:t>15</a:t>
          </a:fld>
          <a:endParaRPr lang="en-AS" sz="2000" b="1" i="0" u="none" strike="noStrike">
            <a:solidFill>
              <a:srgbClr val="860000"/>
            </a:solidFill>
            <a:latin typeface="Calibri"/>
            <a:ea typeface="Calibri"/>
            <a:cs typeface="Calibri"/>
          </a:endParaRPr>
        </a:p>
      </xdr:txBody>
    </xdr:sp>
    <xdr:clientData/>
  </xdr:twoCellAnchor>
  <xdr:twoCellAnchor editAs="oneCell">
    <xdr:from>
      <xdr:col>16</xdr:col>
      <xdr:colOff>579120</xdr:colOff>
      <xdr:row>6</xdr:row>
      <xdr:rowOff>53340</xdr:rowOff>
    </xdr:from>
    <xdr:to>
      <xdr:col>17</xdr:col>
      <xdr:colOff>525780</xdr:colOff>
      <xdr:row>9</xdr:row>
      <xdr:rowOff>60960</xdr:rowOff>
    </xdr:to>
    <xdr:pic>
      <xdr:nvPicPr>
        <xdr:cNvPr id="61" name="Graphic 60" descr="Delivery with solid fill">
          <a:extLst>
            <a:ext uri="{FF2B5EF4-FFF2-40B4-BE49-F238E27FC236}">
              <a16:creationId xmlns:a16="http://schemas.microsoft.com/office/drawing/2014/main" id="{252F148E-5834-E649-99D4-F14D899DFB3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439400" y="1150620"/>
          <a:ext cx="556260" cy="556260"/>
        </a:xfrm>
        <a:prstGeom prst="rect">
          <a:avLst/>
        </a:prstGeom>
      </xdr:spPr>
    </xdr:pic>
    <xdr:clientData/>
  </xdr:twoCellAnchor>
  <xdr:twoCellAnchor>
    <xdr:from>
      <xdr:col>3</xdr:col>
      <xdr:colOff>525780</xdr:colOff>
      <xdr:row>8</xdr:row>
      <xdr:rowOff>91440</xdr:rowOff>
    </xdr:from>
    <xdr:to>
      <xdr:col>11</xdr:col>
      <xdr:colOff>220980</xdr:colOff>
      <xdr:row>18</xdr:row>
      <xdr:rowOff>76200</xdr:rowOff>
    </xdr:to>
    <xdr:graphicFrame macro="">
      <xdr:nvGraphicFramePr>
        <xdr:cNvPr id="63" name="Chart 62">
          <a:extLst>
            <a:ext uri="{FF2B5EF4-FFF2-40B4-BE49-F238E27FC236}">
              <a16:creationId xmlns:a16="http://schemas.microsoft.com/office/drawing/2014/main" id="{E7140C4A-9D9C-4D3D-A161-C0F64011E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480060</xdr:colOff>
      <xdr:row>4</xdr:row>
      <xdr:rowOff>167640</xdr:rowOff>
    </xdr:from>
    <xdr:to>
      <xdr:col>22</xdr:col>
      <xdr:colOff>182880</xdr:colOff>
      <xdr:row>13</xdr:row>
      <xdr:rowOff>38100</xdr:rowOff>
    </xdr:to>
    <xdr:graphicFrame macro="">
      <xdr:nvGraphicFramePr>
        <xdr:cNvPr id="8" name="Chart 7">
          <a:extLst>
            <a:ext uri="{FF2B5EF4-FFF2-40B4-BE49-F238E27FC236}">
              <a16:creationId xmlns:a16="http://schemas.microsoft.com/office/drawing/2014/main" id="{5A1A241F-328F-4084-AC90-D011FAA0F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274320</xdr:colOff>
      <xdr:row>10</xdr:row>
      <xdr:rowOff>7620</xdr:rowOff>
    </xdr:from>
    <xdr:to>
      <xdr:col>10</xdr:col>
      <xdr:colOff>388620</xdr:colOff>
      <xdr:row>11</xdr:row>
      <xdr:rowOff>106680</xdr:rowOff>
    </xdr:to>
    <xdr:sp macro="" textlink="">
      <xdr:nvSpPr>
        <xdr:cNvPr id="10" name="TextBox 9">
          <a:extLst>
            <a:ext uri="{FF2B5EF4-FFF2-40B4-BE49-F238E27FC236}">
              <a16:creationId xmlns:a16="http://schemas.microsoft.com/office/drawing/2014/main" id="{1DD65965-1BF7-DBE3-A2BB-DC015E291717}"/>
            </a:ext>
          </a:extLst>
        </xdr:cNvPr>
        <xdr:cNvSpPr txBox="1"/>
      </xdr:nvSpPr>
      <xdr:spPr>
        <a:xfrm>
          <a:off x="4648200" y="1836420"/>
          <a:ext cx="1943100" cy="2819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bg1"/>
              </a:solidFill>
              <a:latin typeface="+mn-lt"/>
              <a:ea typeface="+mn-ea"/>
              <a:cs typeface="+mn-cs"/>
            </a:rPr>
            <a:t>Product Breakdown</a:t>
          </a:r>
          <a:endParaRPr lang="en-AS" sz="1600" b="1">
            <a:solidFill>
              <a:schemeClr val="bg1"/>
            </a:solidFill>
            <a:latin typeface="+mn-lt"/>
            <a:ea typeface="+mn-ea"/>
            <a:cs typeface="+mn-cs"/>
          </a:endParaRPr>
        </a:p>
      </xdr:txBody>
    </xdr:sp>
    <xdr:clientData/>
  </xdr:twoCellAnchor>
  <xdr:twoCellAnchor>
    <xdr:from>
      <xdr:col>18</xdr:col>
      <xdr:colOff>541020</xdr:colOff>
      <xdr:row>4</xdr:row>
      <xdr:rowOff>83820</xdr:rowOff>
    </xdr:from>
    <xdr:to>
      <xdr:col>21</xdr:col>
      <xdr:colOff>388620</xdr:colOff>
      <xdr:row>6</xdr:row>
      <xdr:rowOff>7620</xdr:rowOff>
    </xdr:to>
    <xdr:sp macro="" textlink="">
      <xdr:nvSpPr>
        <xdr:cNvPr id="11" name="TextBox 10">
          <a:extLst>
            <a:ext uri="{FF2B5EF4-FFF2-40B4-BE49-F238E27FC236}">
              <a16:creationId xmlns:a16="http://schemas.microsoft.com/office/drawing/2014/main" id="{0B389D7A-0115-EA3D-D7E3-488D5AF4CFBA}"/>
            </a:ext>
          </a:extLst>
        </xdr:cNvPr>
        <xdr:cNvSpPr txBox="1"/>
      </xdr:nvSpPr>
      <xdr:spPr>
        <a:xfrm>
          <a:off x="11620500" y="815340"/>
          <a:ext cx="1691640" cy="2895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bg1"/>
              </a:solidFill>
              <a:latin typeface="+mn-lt"/>
              <a:ea typeface="+mn-ea"/>
              <a:cs typeface="+mn-cs"/>
            </a:rPr>
            <a:t>On-time Delivery Rate</a:t>
          </a:r>
          <a:endParaRPr lang="en-AS" sz="1200" b="1">
            <a:solidFill>
              <a:schemeClr val="bg1"/>
            </a:solidFill>
            <a:latin typeface="+mn-lt"/>
            <a:ea typeface="+mn-ea"/>
            <a:cs typeface="+mn-cs"/>
          </a:endParaRPr>
        </a:p>
      </xdr:txBody>
    </xdr:sp>
    <xdr:clientData/>
  </xdr:twoCellAnchor>
  <xdr:twoCellAnchor editAs="oneCell">
    <xdr:from>
      <xdr:col>10</xdr:col>
      <xdr:colOff>297180</xdr:colOff>
      <xdr:row>18</xdr:row>
      <xdr:rowOff>30480</xdr:rowOff>
    </xdr:from>
    <xdr:to>
      <xdr:col>11</xdr:col>
      <xdr:colOff>167640</xdr:colOff>
      <xdr:row>20</xdr:row>
      <xdr:rowOff>144780</xdr:rowOff>
    </xdr:to>
    <xdr:pic>
      <xdr:nvPicPr>
        <xdr:cNvPr id="13" name="Graphic 1" descr="Map with pin with solid fill">
          <a:extLst>
            <a:ext uri="{FF2B5EF4-FFF2-40B4-BE49-F238E27FC236}">
              <a16:creationId xmlns:a16="http://schemas.microsoft.com/office/drawing/2014/main" id="{8A11971F-F68E-1D6A-6E78-614AEE0B82B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499860" y="3322320"/>
          <a:ext cx="480060" cy="480060"/>
        </a:xfrm>
        <a:prstGeom prst="rect">
          <a:avLst/>
        </a:prstGeom>
      </xdr:spPr>
    </xdr:pic>
    <xdr:clientData/>
  </xdr:twoCellAnchor>
  <xdr:twoCellAnchor>
    <xdr:from>
      <xdr:col>4</xdr:col>
      <xdr:colOff>144780</xdr:colOff>
      <xdr:row>18</xdr:row>
      <xdr:rowOff>7620</xdr:rowOff>
    </xdr:from>
    <xdr:to>
      <xdr:col>11</xdr:col>
      <xdr:colOff>175260</xdr:colOff>
      <xdr:row>27</xdr:row>
      <xdr:rowOff>15240</xdr:rowOff>
    </xdr:to>
    <xdr:graphicFrame macro="">
      <xdr:nvGraphicFramePr>
        <xdr:cNvPr id="15" name="Chart 14">
          <a:extLst>
            <a:ext uri="{FF2B5EF4-FFF2-40B4-BE49-F238E27FC236}">
              <a16:creationId xmlns:a16="http://schemas.microsoft.com/office/drawing/2014/main" id="{16709439-0363-43AA-A15B-A6C292DF2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274320</xdr:colOff>
      <xdr:row>14</xdr:row>
      <xdr:rowOff>175260</xdr:rowOff>
    </xdr:from>
    <xdr:to>
      <xdr:col>22</xdr:col>
      <xdr:colOff>335280</xdr:colOff>
      <xdr:row>28</xdr:row>
      <xdr:rowOff>38100</xdr:rowOff>
    </xdr:to>
    <xdr:graphicFrame macro="">
      <xdr:nvGraphicFramePr>
        <xdr:cNvPr id="19" name="Chart 18">
          <a:extLst>
            <a:ext uri="{FF2B5EF4-FFF2-40B4-BE49-F238E27FC236}">
              <a16:creationId xmlns:a16="http://schemas.microsoft.com/office/drawing/2014/main" id="{F7C1EEB4-C4DF-411B-98E9-B6F2D310D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21</xdr:col>
      <xdr:colOff>355390</xdr:colOff>
      <xdr:row>23</xdr:row>
      <xdr:rowOff>0</xdr:rowOff>
    </xdr:from>
    <xdr:to>
      <xdr:col>22</xdr:col>
      <xdr:colOff>31066</xdr:colOff>
      <xdr:row>24</xdr:row>
      <xdr:rowOff>22860</xdr:rowOff>
    </xdr:to>
    <xdr:pic>
      <xdr:nvPicPr>
        <xdr:cNvPr id="28" name="Graphic 27" descr="Close with solid fill">
          <a:extLst>
            <a:ext uri="{FF2B5EF4-FFF2-40B4-BE49-F238E27FC236}">
              <a16:creationId xmlns:a16="http://schemas.microsoft.com/office/drawing/2014/main" id="{C7A0D72C-F907-304D-8D89-194DC3302C6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278910" y="4206240"/>
          <a:ext cx="285276" cy="205740"/>
        </a:xfrm>
        <a:prstGeom prst="rect">
          <a:avLst/>
        </a:prstGeom>
      </xdr:spPr>
    </xdr:pic>
    <xdr:clientData/>
  </xdr:twoCellAnchor>
  <xdr:twoCellAnchor editAs="oneCell">
    <xdr:from>
      <xdr:col>21</xdr:col>
      <xdr:colOff>243840</xdr:colOff>
      <xdr:row>18</xdr:row>
      <xdr:rowOff>38100</xdr:rowOff>
    </xdr:from>
    <xdr:to>
      <xdr:col>22</xdr:col>
      <xdr:colOff>22860</xdr:colOff>
      <xdr:row>20</xdr:row>
      <xdr:rowOff>60960</xdr:rowOff>
    </xdr:to>
    <xdr:pic>
      <xdr:nvPicPr>
        <xdr:cNvPr id="34" name="Graphic 33" descr="Badge Tick1 with solid fill">
          <a:extLst>
            <a:ext uri="{FF2B5EF4-FFF2-40B4-BE49-F238E27FC236}">
              <a16:creationId xmlns:a16="http://schemas.microsoft.com/office/drawing/2014/main" id="{D30FBB4C-C752-7CA7-BDB4-6A69553BF46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167360" y="3329940"/>
          <a:ext cx="388620" cy="388620"/>
        </a:xfrm>
        <a:prstGeom prst="rect">
          <a:avLst/>
        </a:prstGeom>
      </xdr:spPr>
    </xdr:pic>
    <xdr:clientData/>
  </xdr:twoCellAnchor>
  <xdr:twoCellAnchor>
    <xdr:from>
      <xdr:col>11</xdr:col>
      <xdr:colOff>502920</xdr:colOff>
      <xdr:row>19</xdr:row>
      <xdr:rowOff>68580</xdr:rowOff>
    </xdr:from>
    <xdr:to>
      <xdr:col>18</xdr:col>
      <xdr:colOff>281940</xdr:colOff>
      <xdr:row>26</xdr:row>
      <xdr:rowOff>144780</xdr:rowOff>
    </xdr:to>
    <xdr:graphicFrame macro="">
      <xdr:nvGraphicFramePr>
        <xdr:cNvPr id="35" name="Chart 34">
          <a:extLst>
            <a:ext uri="{FF2B5EF4-FFF2-40B4-BE49-F238E27FC236}">
              <a16:creationId xmlns:a16="http://schemas.microsoft.com/office/drawing/2014/main" id="{489DACBD-B002-42E3-82D9-EF5054234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13</xdr:col>
      <xdr:colOff>434340</xdr:colOff>
      <xdr:row>18</xdr:row>
      <xdr:rowOff>114300</xdr:rowOff>
    </xdr:from>
    <xdr:to>
      <xdr:col>16</xdr:col>
      <xdr:colOff>441960</xdr:colOff>
      <xdr:row>20</xdr:row>
      <xdr:rowOff>114300</xdr:rowOff>
    </xdr:to>
    <xdr:sp macro="" textlink="">
      <xdr:nvSpPr>
        <xdr:cNvPr id="36" name="TextBox 35">
          <a:extLst>
            <a:ext uri="{FF2B5EF4-FFF2-40B4-BE49-F238E27FC236}">
              <a16:creationId xmlns:a16="http://schemas.microsoft.com/office/drawing/2014/main" id="{90D28B4A-0065-EC8C-DF7B-BC973674B0BF}"/>
            </a:ext>
          </a:extLst>
        </xdr:cNvPr>
        <xdr:cNvSpPr txBox="1"/>
      </xdr:nvSpPr>
      <xdr:spPr>
        <a:xfrm>
          <a:off x="8465820" y="3406140"/>
          <a:ext cx="1836420" cy="3657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Payment</a:t>
          </a:r>
          <a:r>
            <a:rPr lang="en-US" sz="1600" baseline="0">
              <a:solidFill>
                <a:schemeClr val="bg1"/>
              </a:solidFill>
            </a:rPr>
            <a:t> Method</a:t>
          </a:r>
          <a:endParaRPr lang="en-AS" sz="1600">
            <a:solidFill>
              <a:schemeClr val="bg1"/>
            </a:solidFill>
          </a:endParaRPr>
        </a:p>
      </xdr:txBody>
    </xdr:sp>
    <xdr:clientData/>
  </xdr:twoCellAnchor>
  <xdr:twoCellAnchor>
    <xdr:from>
      <xdr:col>11</xdr:col>
      <xdr:colOff>350520</xdr:colOff>
      <xdr:row>9</xdr:row>
      <xdr:rowOff>99060</xdr:rowOff>
    </xdr:from>
    <xdr:to>
      <xdr:col>18</xdr:col>
      <xdr:colOff>281940</xdr:colOff>
      <xdr:row>17</xdr:row>
      <xdr:rowOff>156210</xdr:rowOff>
    </xdr:to>
    <xdr:graphicFrame macro="">
      <xdr:nvGraphicFramePr>
        <xdr:cNvPr id="48" name="Chart 47">
          <a:extLst>
            <a:ext uri="{FF2B5EF4-FFF2-40B4-BE49-F238E27FC236}">
              <a16:creationId xmlns:a16="http://schemas.microsoft.com/office/drawing/2014/main" id="{F5F6373A-2332-4356-9EEC-B47B460B4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13</xdr:col>
      <xdr:colOff>205740</xdr:colOff>
      <xdr:row>9</xdr:row>
      <xdr:rowOff>137160</xdr:rowOff>
    </xdr:from>
    <xdr:to>
      <xdr:col>16</xdr:col>
      <xdr:colOff>304800</xdr:colOff>
      <xdr:row>12</xdr:row>
      <xdr:rowOff>15240</xdr:rowOff>
    </xdr:to>
    <xdr:sp macro="" textlink="">
      <xdr:nvSpPr>
        <xdr:cNvPr id="51" name="TextBox 50">
          <a:extLst>
            <a:ext uri="{FF2B5EF4-FFF2-40B4-BE49-F238E27FC236}">
              <a16:creationId xmlns:a16="http://schemas.microsoft.com/office/drawing/2014/main" id="{869DEA3A-0C00-5676-2978-8F06F7153C15}"/>
            </a:ext>
          </a:extLst>
        </xdr:cNvPr>
        <xdr:cNvSpPr txBox="1"/>
      </xdr:nvSpPr>
      <xdr:spPr>
        <a:xfrm>
          <a:off x="8237220" y="1783080"/>
          <a:ext cx="1927860" cy="4267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n-lt"/>
              <a:ea typeface="+mn-ea"/>
              <a:cs typeface="+mn-cs"/>
            </a:rPr>
            <a:t>Sales</a:t>
          </a:r>
          <a:r>
            <a:rPr lang="en-US" sz="1800">
              <a:solidFill>
                <a:schemeClr val="bg1"/>
              </a:solidFill>
            </a:rPr>
            <a:t> by Platform</a:t>
          </a:r>
          <a:endParaRPr lang="en-AS" sz="1800">
            <a:solidFill>
              <a:schemeClr val="bg1"/>
            </a:solidFill>
          </a:endParaRPr>
        </a:p>
      </xdr:txBody>
    </xdr:sp>
    <xdr:clientData/>
  </xdr:twoCellAnchor>
  <xdr:twoCellAnchor editAs="oneCell">
    <xdr:from>
      <xdr:col>17</xdr:col>
      <xdr:colOff>30480</xdr:colOff>
      <xdr:row>9</xdr:row>
      <xdr:rowOff>129540</xdr:rowOff>
    </xdr:from>
    <xdr:to>
      <xdr:col>18</xdr:col>
      <xdr:colOff>7620</xdr:colOff>
      <xdr:row>12</xdr:row>
      <xdr:rowOff>167640</xdr:rowOff>
    </xdr:to>
    <xdr:pic>
      <xdr:nvPicPr>
        <xdr:cNvPr id="54" name="Graphic 53" descr="Register with solid fill">
          <a:extLst>
            <a:ext uri="{FF2B5EF4-FFF2-40B4-BE49-F238E27FC236}">
              <a16:creationId xmlns:a16="http://schemas.microsoft.com/office/drawing/2014/main" id="{24E3CAC3-DC53-27AC-B183-596601EEB584}"/>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0500360" y="1775460"/>
          <a:ext cx="586740" cy="586740"/>
        </a:xfrm>
        <a:prstGeom prst="rect">
          <a:avLst/>
        </a:prstGeom>
      </xdr:spPr>
    </xdr:pic>
    <xdr:clientData/>
  </xdr:twoCellAnchor>
  <xdr:twoCellAnchor editAs="oneCell">
    <xdr:from>
      <xdr:col>17</xdr:col>
      <xdr:colOff>152400</xdr:colOff>
      <xdr:row>18</xdr:row>
      <xdr:rowOff>152400</xdr:rowOff>
    </xdr:from>
    <xdr:to>
      <xdr:col>18</xdr:col>
      <xdr:colOff>0</xdr:colOff>
      <xdr:row>20</xdr:row>
      <xdr:rowOff>144780</xdr:rowOff>
    </xdr:to>
    <xdr:pic>
      <xdr:nvPicPr>
        <xdr:cNvPr id="56" name="Graphic 55" descr="Wallet with solid fill">
          <a:extLst>
            <a:ext uri="{FF2B5EF4-FFF2-40B4-BE49-F238E27FC236}">
              <a16:creationId xmlns:a16="http://schemas.microsoft.com/office/drawing/2014/main" id="{AF5B3C57-4245-1A1A-0AEF-82CC6088688F}"/>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0622280" y="3444240"/>
          <a:ext cx="457200" cy="35814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0.90667</cdr:x>
      <cdr:y>0.13025</cdr:y>
    </cdr:from>
    <cdr:to>
      <cdr:x>1</cdr:x>
      <cdr:y>0.36555</cdr:y>
    </cdr:to>
    <cdr:pic>
      <cdr:nvPicPr>
        <cdr:cNvPr id="3" name="Graphic 2" descr="Search Inventory with solid fill">
          <a:extLst xmlns:a="http://schemas.openxmlformats.org/drawingml/2006/main">
            <a:ext uri="{FF2B5EF4-FFF2-40B4-BE49-F238E27FC236}">
              <a16:creationId xmlns:a16="http://schemas.microsoft.com/office/drawing/2014/main" id="{25B0263A-2776-2E42-7E45-23B691CE34C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145280" y="236220"/>
          <a:ext cx="426720" cy="426720"/>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0.80919</cdr:x>
      <cdr:y>0.09548</cdr:y>
    </cdr:from>
    <cdr:to>
      <cdr:x>0.98587</cdr:x>
      <cdr:y>0.34673</cdr:y>
    </cdr:to>
    <cdr:pic>
      <cdr:nvPicPr>
        <cdr:cNvPr id="3" name="Graphic 2" descr="Stopwatch 75% with solid fill">
          <a:extLst xmlns:a="http://schemas.openxmlformats.org/drawingml/2006/main">
            <a:ext uri="{FF2B5EF4-FFF2-40B4-BE49-F238E27FC236}">
              <a16:creationId xmlns:a16="http://schemas.microsoft.com/office/drawing/2014/main" id="{1B299086-6B39-5F84-1C4D-BDE29D0A7B3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744980" y="144780"/>
          <a:ext cx="381000" cy="381000"/>
        </a:xfrm>
        <a:prstGeom xmlns:a="http://schemas.openxmlformats.org/drawingml/2006/main" prst="rect">
          <a:avLst/>
        </a:prstGeom>
      </cdr:spPr>
    </cdr:pic>
  </cdr:relSizeAnchor>
  <cdr:relSizeAnchor xmlns:cdr="http://schemas.openxmlformats.org/drawingml/2006/chartDrawing">
    <cdr:from>
      <cdr:x>0</cdr:x>
      <cdr:y>0.71189</cdr:y>
    </cdr:from>
    <cdr:to>
      <cdr:x>0.20259</cdr:x>
      <cdr:y>1</cdr:y>
    </cdr:to>
    <cdr:pic>
      <cdr:nvPicPr>
        <cdr:cNvPr id="4" name="Graphic 60" descr="Delivery with solid fill">
          <a:extLst xmlns:a="http://schemas.openxmlformats.org/drawingml/2006/main">
            <a:ext uri="{FF2B5EF4-FFF2-40B4-BE49-F238E27FC236}">
              <a16:creationId xmlns:a16="http://schemas.microsoft.com/office/drawing/2014/main" id="{252F148E-5834-E649-99D4-F14D899DFB3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0" y="1079500"/>
          <a:ext cx="436880" cy="436880"/>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0.32281</cdr:x>
      <cdr:y>0.125</cdr:y>
    </cdr:from>
    <cdr:to>
      <cdr:x>0.85263</cdr:x>
      <cdr:y>0.28365</cdr:y>
    </cdr:to>
    <cdr:sp macro="" textlink="">
      <cdr:nvSpPr>
        <cdr:cNvPr id="2" name="TextBox 1">
          <a:extLst xmlns:a="http://schemas.openxmlformats.org/drawingml/2006/main">
            <a:ext uri="{FF2B5EF4-FFF2-40B4-BE49-F238E27FC236}">
              <a16:creationId xmlns:a16="http://schemas.microsoft.com/office/drawing/2014/main" id="{AAB21CC6-1DE4-82CF-8516-CC8A0564753B}"/>
            </a:ext>
          </a:extLst>
        </cdr:cNvPr>
        <cdr:cNvSpPr txBox="1"/>
      </cdr:nvSpPr>
      <cdr:spPr>
        <a:xfrm xmlns:a="http://schemas.openxmlformats.org/drawingml/2006/main">
          <a:off x="1402080" y="198120"/>
          <a:ext cx="2301240" cy="2514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AS" sz="1100" kern="1200"/>
        </a:p>
      </cdr:txBody>
    </cdr:sp>
  </cdr:relSizeAnchor>
  <cdr:relSizeAnchor xmlns:cdr="http://schemas.openxmlformats.org/drawingml/2006/chartDrawing">
    <cdr:from>
      <cdr:x>0.49334</cdr:x>
      <cdr:y>0.03886</cdr:y>
    </cdr:from>
    <cdr:to>
      <cdr:x>0.97053</cdr:x>
      <cdr:y>0.29848</cdr:y>
    </cdr:to>
    <cdr:sp macro="" textlink="">
      <cdr:nvSpPr>
        <cdr:cNvPr id="3" name="TextBox 2">
          <a:extLst xmlns:a="http://schemas.openxmlformats.org/drawingml/2006/main">
            <a:ext uri="{FF2B5EF4-FFF2-40B4-BE49-F238E27FC236}">
              <a16:creationId xmlns:a16="http://schemas.microsoft.com/office/drawing/2014/main" id="{97DF42A4-C93D-1C5E-EA85-914F2348ACA4}"/>
            </a:ext>
          </a:extLst>
        </cdr:cNvPr>
        <cdr:cNvSpPr txBox="1"/>
      </cdr:nvSpPr>
      <cdr:spPr>
        <a:xfrm xmlns:a="http://schemas.openxmlformats.org/drawingml/2006/main">
          <a:off x="2120205" y="64257"/>
          <a:ext cx="2050823" cy="4292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solidFill>
                <a:schemeClr val="bg1"/>
              </a:solidFill>
              <a:latin typeface="+mn-lt"/>
              <a:ea typeface="+mn-ea"/>
              <a:cs typeface="+mn-cs"/>
            </a:rPr>
            <a:t>Orders</a:t>
          </a:r>
          <a:r>
            <a:rPr lang="en-US" sz="1800" kern="1200"/>
            <a:t> </a:t>
          </a:r>
          <a:r>
            <a:rPr lang="en-US" sz="1800" b="1">
              <a:solidFill>
                <a:schemeClr val="bg1"/>
              </a:solidFill>
              <a:latin typeface="+mn-lt"/>
              <a:ea typeface="+mn-ea"/>
              <a:cs typeface="+mn-cs"/>
            </a:rPr>
            <a:t>by</a:t>
          </a:r>
          <a:r>
            <a:rPr lang="en-US" sz="1800" kern="1200"/>
            <a:t> </a:t>
          </a:r>
          <a:r>
            <a:rPr lang="en-US" sz="1800" b="1">
              <a:solidFill>
                <a:schemeClr val="bg1"/>
              </a:solidFill>
              <a:latin typeface="+mn-lt"/>
              <a:ea typeface="+mn-ea"/>
              <a:cs typeface="+mn-cs"/>
            </a:rPr>
            <a:t>Area</a:t>
          </a:r>
          <a:endParaRPr lang="en-AS" sz="1800" b="1">
            <a:solidFill>
              <a:schemeClr val="bg1"/>
            </a:solidFill>
            <a:latin typeface="+mn-lt"/>
            <a:ea typeface="+mn-ea"/>
            <a:cs typeface="+mn-cs"/>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0.08788</cdr:x>
      <cdr:y>0.04717</cdr:y>
    </cdr:from>
    <cdr:to>
      <cdr:x>0.92121</cdr:x>
      <cdr:y>0.17296</cdr:y>
    </cdr:to>
    <cdr:sp macro="" textlink="">
      <cdr:nvSpPr>
        <cdr:cNvPr id="2" name="TextBox 1">
          <a:extLst xmlns:a="http://schemas.openxmlformats.org/drawingml/2006/main">
            <a:ext uri="{FF2B5EF4-FFF2-40B4-BE49-F238E27FC236}">
              <a16:creationId xmlns:a16="http://schemas.microsoft.com/office/drawing/2014/main" id="{AAB7FCAF-F52E-1549-F8D0-9E89563837A6}"/>
            </a:ext>
          </a:extLst>
        </cdr:cNvPr>
        <cdr:cNvSpPr txBox="1"/>
      </cdr:nvSpPr>
      <cdr:spPr>
        <a:xfrm xmlns:a="http://schemas.openxmlformats.org/drawingml/2006/main">
          <a:off x="220980" y="114300"/>
          <a:ext cx="20955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a:solidFill>
                <a:schemeClr val="bg1"/>
              </a:solidFill>
            </a:rPr>
            <a:t>Delivered vs Not Delivered</a:t>
          </a:r>
          <a:endParaRPr lang="en-AS" sz="1200" b="1"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 Engineer" refreshedDate="45870.185300231482" createdVersion="8" refreshedVersion="8" minRefreshableVersion="3" recordCount="112" xr:uid="{70ECF866-6CDC-40EA-95F7-B567ADFC8573}">
  <cacheSource type="worksheet">
    <worksheetSource name="Table1"/>
  </cacheSource>
  <cacheFields count="21">
    <cacheField name="أسم العميل" numFmtId="0">
      <sharedItems/>
    </cacheField>
    <cacheField name="نوع العميل " numFmtId="0">
      <sharedItems count="2">
        <s v="افراد"/>
        <s v="شركات"/>
      </sharedItems>
    </cacheField>
    <cacheField name="العنوان" numFmtId="0">
      <sharedItems containsBlank="1"/>
    </cacheField>
    <cacheField name="المحافظة" numFmtId="0">
      <sharedItems containsBlank="1" count="13">
        <s v="الجيزة"/>
        <s v="الإسكندرية"/>
        <s v="مطروح"/>
        <s v="البحر الأحمر"/>
        <s v="غير معروف"/>
        <s v="القاهرة"/>
        <s v="المنوفية"/>
        <s v="العين السخنة"/>
        <s v="أسيوط"/>
        <s v="السويس"/>
        <s v="القليوبية"/>
        <s v="القاهرة الكبرى" u="1"/>
        <m u="1"/>
      </sharedItems>
    </cacheField>
    <cacheField name="منصة البيع " numFmtId="0">
      <sharedItems count="8">
        <s v="هومزمارت"/>
        <s v="شيك هومز"/>
        <s v="فيس بوك"/>
        <s v="تاكى"/>
        <s v="اوسكار ريتن "/>
        <s v="غير معروف"/>
        <s v="منزلى"/>
        <s v="كيمت "/>
      </sharedItems>
    </cacheField>
    <cacheField name="الصنف" numFmtId="0">
      <sharedItems count="6">
        <s v="سرير"/>
        <s v="تربيزة"/>
        <s v="كنبة"/>
        <s v="ركنة"/>
        <s v="كرسى"/>
        <s v="شيزلونج"/>
      </sharedItems>
    </cacheField>
    <cacheField name="نوع الصنف" numFmtId="0">
      <sharedItems/>
    </cacheField>
    <cacheField name="الاسم " numFmtId="0">
      <sharedItems/>
    </cacheField>
    <cacheField name="المقاس" numFmtId="0">
      <sharedItems containsSemiMixedTypes="0" containsString="0" containsNumber="1" containsInteger="1" minValue="0" maxValue="160" count="7">
        <n v="0"/>
        <n v="90"/>
        <n v="100"/>
        <n v="120"/>
        <n v="80"/>
        <n v="140"/>
        <n v="160"/>
      </sharedItems>
    </cacheField>
    <cacheField name="اللون " numFmtId="0">
      <sharedItems count="12">
        <s v="ابيض"/>
        <s v="اسود"/>
        <s v="ازرق"/>
        <s v="غير معروف"/>
        <s v="رمادى"/>
        <s v="دهبي"/>
        <s v="بنفسجى"/>
        <s v="اسود وبنى"/>
        <s v="نبيتى "/>
        <s v="ملون"/>
        <s v="بينك"/>
        <s v="الوان"/>
      </sharedItems>
    </cacheField>
    <cacheField name="المنتج" numFmtId="0">
      <sharedItems containsBlank="1"/>
    </cacheField>
    <cacheField name="سعر البيع " numFmtId="0">
      <sharedItems containsSemiMixedTypes="0" containsString="0" containsNumber="1" minValue="4020" maxValue="22000"/>
    </cacheField>
    <cacheField name="طريقه الدفع " numFmtId="0">
      <sharedItems count="4">
        <s v="مسبق الدفع"/>
        <s v="كاش"/>
        <s v="حساب شركه"/>
        <s v="غير معروف"/>
      </sharedItems>
    </cacheField>
    <cacheField name="مدة التسليم (الهدف)" numFmtId="0">
      <sharedItems containsSemiMixedTypes="0" containsString="0" containsNumber="1" containsInteger="1" minValue="0" maxValue="67"/>
    </cacheField>
    <cacheField name="مدة التسليم (الفعلي)" numFmtId="0">
      <sharedItems containsSemiMixedTypes="0" containsString="0" containsNumber="1" containsInteger="1" minValue="0" maxValue="59"/>
    </cacheField>
    <cacheField name=" في الموعد " numFmtId="0">
      <sharedItems containsSemiMixedTypes="0" containsString="0" containsNumber="1" containsInteger="1" minValue="0" maxValue="1" count="2">
        <n v="0"/>
        <n v="1"/>
      </sharedItems>
    </cacheField>
    <cacheField name="ميعاد الطلب" numFmtId="14">
      <sharedItems containsNonDate="0" containsDate="1" containsString="0" containsBlank="1" minDate="2024-07-27T00:00:00" maxDate="2024-12-15T00:00:00"/>
    </cacheField>
    <cacheField name="ميعاد التسليم" numFmtId="14">
      <sharedItems containsNonDate="0" containsDate="1" containsString="0" containsBlank="1" minDate="2024-08-20T00:00:00" maxDate="2025-01-06T00:00:00"/>
    </cacheField>
    <cacheField name="تاريخ التسليم" numFmtId="14">
      <sharedItems containsNonDate="0" containsDate="1" containsString="0" containsBlank="1" minDate="2024-08-10T00:00:00" maxDate="2024-12-30T00:00:00"/>
    </cacheField>
    <cacheField name="المسئول عن التسليم" numFmtId="0">
      <sharedItems containsBlank="1"/>
    </cacheField>
    <cacheField name="الحالة" numFmtId="0">
      <sharedItems count="4">
        <s v="تم التسليم"/>
        <s v="فشل التسليم"/>
        <s v="مرفوض " u="1"/>
        <s v="مرتجع" u="1"/>
      </sharedItems>
    </cacheField>
  </cacheFields>
  <extLst>
    <ext xmlns:x14="http://schemas.microsoft.com/office/spreadsheetml/2009/9/main" uri="{725AE2AE-9491-48be-B2B4-4EB974FC3084}">
      <x14:pivotCacheDefinition pivotCacheId="1748889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خالد عبد القوى "/>
    <x v="0"/>
    <s v="العجوزه - الجيزه"/>
    <x v="0"/>
    <x v="0"/>
    <x v="0"/>
    <s v="منطبق"/>
    <s v="غير معروف"/>
    <x v="0"/>
    <x v="0"/>
    <s v="سرير منطبق الحديد ابيض والقماش ابيض "/>
    <n v="10160"/>
    <x v="0"/>
    <n v="0"/>
    <n v="14"/>
    <x v="0"/>
    <d v="2024-07-27T00:00:00"/>
    <m/>
    <d v="2024-08-10T00:00:00"/>
    <s v="تم التسليم عن طريق شركه شحن "/>
    <x v="0"/>
  </r>
  <r>
    <s v="محمود"/>
    <x v="0"/>
    <s v="سموحه - اسكندريه"/>
    <x v="1"/>
    <x v="0"/>
    <x v="0"/>
    <s v="منطبق"/>
    <s v="غير معروف"/>
    <x v="0"/>
    <x v="1"/>
    <s v="سرير منطبق اسود والقماش اسود "/>
    <n v="10160"/>
    <x v="1"/>
    <n v="0"/>
    <n v="14"/>
    <x v="0"/>
    <d v="2024-07-28T00:00:00"/>
    <m/>
    <d v="2024-08-11T00:00:00"/>
    <s v="تم التسليم عن طريق شركه شحن "/>
    <x v="0"/>
  </r>
  <r>
    <s v="سعيد"/>
    <x v="0"/>
    <s v="سيدى عبد الرحمن - الساحل الشمالى "/>
    <x v="2"/>
    <x v="0"/>
    <x v="0"/>
    <s v="دورين"/>
    <s v="كيفنج"/>
    <x v="1"/>
    <x v="2"/>
    <s v="سرير كيفينج مقاس 90 لون ازرق "/>
    <n v="11455"/>
    <x v="1"/>
    <n v="0"/>
    <n v="0"/>
    <x v="0"/>
    <d v="2024-07-27T00:00:00"/>
    <m/>
    <m/>
    <s v="فشل التسليم "/>
    <x v="1"/>
  </r>
  <r>
    <s v="ساندرا"/>
    <x v="0"/>
    <s v="الغردقه "/>
    <x v="3"/>
    <x v="0"/>
    <x v="1"/>
    <s v="غير معروف"/>
    <s v="غير معروف"/>
    <x v="0"/>
    <x v="3"/>
    <s v="ترابيزه قهوه متحركه "/>
    <n v="8642"/>
    <x v="0"/>
    <n v="13"/>
    <n v="2"/>
    <x v="1"/>
    <d v="2024-08-25T00:00:00"/>
    <d v="2024-09-07T00:00:00"/>
    <d v="2024-08-27T00:00:00"/>
    <s v="تم التسليم عن طريق شركه شحن "/>
    <x v="0"/>
  </r>
  <r>
    <s v="زينا "/>
    <x v="0"/>
    <s v="سيدى عبد الرحمن - الساحل الشمالى "/>
    <x v="2"/>
    <x v="0"/>
    <x v="0"/>
    <s v="دورين"/>
    <s v="نوفال"/>
    <x v="2"/>
    <x v="4"/>
    <s v="سرير نوفال متر رمادى "/>
    <n v="12833"/>
    <x v="1"/>
    <n v="15"/>
    <n v="0"/>
    <x v="1"/>
    <d v="2024-08-16T00:00:00"/>
    <d v="2024-08-31T00:00:00"/>
    <m/>
    <s v="فشل التسليم "/>
    <x v="1"/>
  </r>
  <r>
    <s v="شيك هومز "/>
    <x v="1"/>
    <m/>
    <x v="4"/>
    <x v="1"/>
    <x v="2"/>
    <s v="4*1"/>
    <s v="غير معروف"/>
    <x v="0"/>
    <x v="3"/>
    <s v="كنبه سرير رمادى "/>
    <n v="14550"/>
    <x v="0"/>
    <n v="20"/>
    <n v="22"/>
    <x v="0"/>
    <d v="2024-08-14T00:00:00"/>
    <d v="2024-09-03T00:00:00"/>
    <d v="2024-09-05T00:00:00"/>
    <s v="تم التسليم عن طريق شركه شحن "/>
    <x v="0"/>
  </r>
  <r>
    <s v="احمد "/>
    <x v="0"/>
    <s v="التجمع الخامس"/>
    <x v="5"/>
    <x v="2"/>
    <x v="2"/>
    <s v="4*1"/>
    <s v="غير معروف"/>
    <x v="0"/>
    <x v="3"/>
    <s v="كنبه سرير رمادى "/>
    <n v="12000"/>
    <x v="1"/>
    <n v="3"/>
    <n v="2"/>
    <x v="1"/>
    <d v="2024-08-17T00:00:00"/>
    <d v="2024-08-20T00:00:00"/>
    <d v="2024-08-19T00:00:00"/>
    <s v="تم تسليم العميل عن طريق شركه شحن "/>
    <x v="0"/>
  </r>
  <r>
    <s v="yilmaz"/>
    <x v="0"/>
    <s v="٦ اكتوبر الجيزه "/>
    <x v="0"/>
    <x v="0"/>
    <x v="0"/>
    <s v="فردى "/>
    <s v="غير معروف"/>
    <x v="3"/>
    <x v="0"/>
    <s v="سرير فردى  ابيض "/>
    <n v="7228"/>
    <x v="0"/>
    <n v="9"/>
    <n v="16"/>
    <x v="0"/>
    <d v="2024-08-25T00:00:00"/>
    <d v="2024-09-03T00:00:00"/>
    <d v="2024-09-10T00:00:00"/>
    <s v="تم التسليم عن طريق شركه شحن "/>
    <x v="0"/>
  </r>
  <r>
    <s v="تاكى "/>
    <x v="1"/>
    <s v="العباسيه"/>
    <x v="5"/>
    <x v="3"/>
    <x v="3"/>
    <s v="ركنة بسرير"/>
    <s v="غير معروف"/>
    <x v="0"/>
    <x v="3"/>
    <s v="ركنه "/>
    <n v="22000"/>
    <x v="1"/>
    <n v="13"/>
    <n v="29"/>
    <x v="0"/>
    <d v="2024-08-19T00:00:00"/>
    <d v="2024-09-01T00:00:00"/>
    <d v="2024-09-17T00:00:00"/>
    <m/>
    <x v="0"/>
  </r>
  <r>
    <s v="تاكى "/>
    <x v="1"/>
    <s v="العباسيه"/>
    <x v="5"/>
    <x v="3"/>
    <x v="2"/>
    <s v="سحارة"/>
    <s v="غير معروف"/>
    <x v="0"/>
    <x v="3"/>
    <s v="٢ كنبه سحاره بمخدع"/>
    <n v="16000"/>
    <x v="1"/>
    <n v="0"/>
    <n v="0"/>
    <x v="0"/>
    <m/>
    <m/>
    <m/>
    <s v="ملغى "/>
    <x v="1"/>
  </r>
  <r>
    <s v="تاكى "/>
    <x v="1"/>
    <s v="العباسيه "/>
    <x v="5"/>
    <x v="3"/>
    <x v="2"/>
    <s v="سحارة"/>
    <s v="غير معروف"/>
    <x v="0"/>
    <x v="3"/>
    <s v="٢ كنبه سحاره بدون مخدع "/>
    <n v="6000"/>
    <x v="1"/>
    <n v="21"/>
    <n v="23"/>
    <x v="0"/>
    <d v="2024-08-25T00:00:00"/>
    <d v="2024-09-15T00:00:00"/>
    <d v="2024-09-17T00:00:00"/>
    <s v="تم التسليم محمود على "/>
    <x v="0"/>
  </r>
  <r>
    <s v="على رشوان "/>
    <x v="0"/>
    <s v="مصر الجديده"/>
    <x v="5"/>
    <x v="0"/>
    <x v="0"/>
    <s v="دورين"/>
    <s v="نوفال"/>
    <x v="4"/>
    <x v="0"/>
    <s v="سرير نوفال ابيض مقاس ٨٠"/>
    <n v="10499"/>
    <x v="1"/>
    <n v="15"/>
    <n v="7"/>
    <x v="1"/>
    <d v="2024-09-01T00:00:00"/>
    <d v="2024-09-16T00:00:00"/>
    <d v="2024-09-08T00:00:00"/>
    <s v="تم التسليم عن طريق شركه شحن "/>
    <x v="0"/>
  </r>
  <r>
    <s v="احمد فخرى "/>
    <x v="0"/>
    <s v="٦ اكتوبر الجيزه "/>
    <x v="0"/>
    <x v="0"/>
    <x v="0"/>
    <s v="فردى "/>
    <s v="نوفال"/>
    <x v="4"/>
    <x v="0"/>
    <s v="سرير فردى  خشب موسكى الحديد ابيض مقاس ٨٠"/>
    <n v="7295"/>
    <x v="1"/>
    <n v="9"/>
    <n v="0"/>
    <x v="1"/>
    <d v="2024-09-05T00:00:00"/>
    <d v="2024-09-14T00:00:00"/>
    <m/>
    <m/>
    <x v="1"/>
  </r>
  <r>
    <s v="لينا "/>
    <x v="0"/>
    <s v="المقطم "/>
    <x v="5"/>
    <x v="0"/>
    <x v="1"/>
    <s v="ميكانزم"/>
    <s v="غير معروف"/>
    <x v="0"/>
    <x v="3"/>
    <s v="ترابيزه قهوه علويه جديده "/>
    <n v="7849"/>
    <x v="0"/>
    <n v="12"/>
    <n v="21"/>
    <x v="0"/>
    <d v="2024-09-04T00:00:00"/>
    <d v="2024-09-16T00:00:00"/>
    <d v="2024-09-25T00:00:00"/>
    <s v="تم التسليم عن طريق شركه شحن "/>
    <x v="1"/>
  </r>
  <r>
    <s v="فيصل نعيم "/>
    <x v="0"/>
    <s v="التجمع الخامس "/>
    <x v="5"/>
    <x v="4"/>
    <x v="0"/>
    <s v="دورين"/>
    <s v="كيفنج"/>
    <x v="3"/>
    <x v="1"/>
    <s v="٢ سرير كيفنج ١٢٠ اسود "/>
    <n v="6180"/>
    <x v="1"/>
    <n v="13"/>
    <n v="12"/>
    <x v="1"/>
    <d v="2024-09-03T00:00:00"/>
    <d v="2024-09-16T00:00:00"/>
    <d v="2024-09-15T00:00:00"/>
    <s v="تم التسليم محمود على "/>
    <x v="0"/>
  </r>
  <r>
    <s v="ellho elkafy"/>
    <x v="0"/>
    <s v="مدينه نصر "/>
    <x v="5"/>
    <x v="0"/>
    <x v="0"/>
    <s v="دورين"/>
    <s v="كينج"/>
    <x v="4"/>
    <x v="0"/>
    <s v="سرير كينج ابيض مقاس ٨٠ التصميم الجديد "/>
    <n v="11199"/>
    <x v="1"/>
    <n v="14"/>
    <n v="0"/>
    <x v="1"/>
    <d v="2024-09-04T00:00:00"/>
    <d v="2024-09-18T00:00:00"/>
    <m/>
    <m/>
    <x v="1"/>
  </r>
  <r>
    <s v="احمد "/>
    <x v="0"/>
    <s v="القاهره الجديده"/>
    <x v="5"/>
    <x v="0"/>
    <x v="0"/>
    <s v="فردى "/>
    <s v="فورجينا"/>
    <x v="4"/>
    <x v="0"/>
    <s v="٤سرير فردى  خشب موسكى الحديد ابيض مقاس ٨٠"/>
    <n v="7987"/>
    <x v="0"/>
    <n v="10"/>
    <n v="15"/>
    <x v="0"/>
    <d v="2024-09-06T00:00:00"/>
    <d v="2024-09-16T00:00:00"/>
    <d v="2024-09-21T00:00:00"/>
    <s v="تم التسليم محمود على "/>
    <x v="0"/>
  </r>
  <r>
    <s v="تاكى"/>
    <x v="1"/>
    <s v="العباسيه"/>
    <x v="5"/>
    <x v="3"/>
    <x v="4"/>
    <s v="فنيسيا"/>
    <s v="غير معروف"/>
    <x v="0"/>
    <x v="3"/>
    <s v="٢ فوتيه فنيسيا "/>
    <n v="9300"/>
    <x v="1"/>
    <n v="11"/>
    <n v="13"/>
    <x v="0"/>
    <d v="2024-09-04T00:00:00"/>
    <d v="2024-09-15T00:00:00"/>
    <d v="2024-09-17T00:00:00"/>
    <s v="تم التسليم محمود على "/>
    <x v="0"/>
  </r>
  <r>
    <s v="صفاء"/>
    <x v="0"/>
    <s v="المعادى"/>
    <x v="5"/>
    <x v="0"/>
    <x v="1"/>
    <s v="ميكانزم"/>
    <s v="غير معروف"/>
    <x v="0"/>
    <x v="3"/>
    <s v="ترابيزه قهوه علويه جديده "/>
    <n v="8849"/>
    <x v="0"/>
    <n v="43"/>
    <n v="0"/>
    <x v="1"/>
    <d v="2024-09-03T00:00:00"/>
    <d v="2024-10-16T00:00:00"/>
    <m/>
    <m/>
    <x v="1"/>
  </r>
  <r>
    <s v="حسن حازم"/>
    <x v="0"/>
    <s v="٦ اكتوبر الجيزه "/>
    <x v="0"/>
    <x v="0"/>
    <x v="0"/>
    <s v="فردى "/>
    <s v="اسبانى"/>
    <x v="3"/>
    <x v="0"/>
    <s v="سرير اسبانى ابيض ١٢٠"/>
    <n v="10987"/>
    <x v="0"/>
    <n v="8"/>
    <n v="12"/>
    <x v="0"/>
    <d v="2024-09-09T00:00:00"/>
    <d v="2024-09-17T00:00:00"/>
    <d v="2024-09-21T00:00:00"/>
    <s v="تم التسليم محمود على "/>
    <x v="0"/>
  </r>
  <r>
    <s v="شيك هومز "/>
    <x v="1"/>
    <m/>
    <x v="4"/>
    <x v="1"/>
    <x v="0"/>
    <s v="دورين"/>
    <s v="كينج"/>
    <x v="2"/>
    <x v="0"/>
    <s v="سرير كينج ابيض "/>
    <n v="9208"/>
    <x v="1"/>
    <n v="18"/>
    <n v="20"/>
    <x v="0"/>
    <d v="2024-09-01T00:00:00"/>
    <d v="2024-09-19T00:00:00"/>
    <d v="2024-09-21T00:00:00"/>
    <s v="تم التسليم محمود على "/>
    <x v="0"/>
  </r>
  <r>
    <s v="شيك هومز "/>
    <x v="1"/>
    <m/>
    <x v="4"/>
    <x v="1"/>
    <x v="0"/>
    <s v="دورين"/>
    <s v="كينج"/>
    <x v="2"/>
    <x v="1"/>
    <s v="سرير كينج اسود "/>
    <n v="9208"/>
    <x v="1"/>
    <n v="18"/>
    <n v="20"/>
    <x v="0"/>
    <d v="2024-09-01T00:00:00"/>
    <d v="2024-09-19T00:00:00"/>
    <d v="2024-09-21T00:00:00"/>
    <s v="تم التسليم محمود على "/>
    <x v="0"/>
  </r>
  <r>
    <s v="اوسكار راتن"/>
    <x v="1"/>
    <s v="مخزن اوسكار في القناطر "/>
    <x v="6"/>
    <x v="4"/>
    <x v="0"/>
    <s v="فردى "/>
    <s v="فورجينا"/>
    <x v="3"/>
    <x v="0"/>
    <s v="٢ سريرفورجينا خشب موسكى ابيض مقاس ١٢٠"/>
    <n v="4020"/>
    <x v="2"/>
    <n v="9"/>
    <n v="10"/>
    <x v="0"/>
    <d v="2024-09-12T00:00:00"/>
    <d v="2024-09-21T00:00:00"/>
    <d v="2024-09-22T00:00:00"/>
    <s v="تم التسليم محمود على "/>
    <x v="0"/>
  </r>
  <r>
    <s v="اوسكار راتن"/>
    <x v="1"/>
    <s v="مخزن اوسكار في القناطر "/>
    <x v="6"/>
    <x v="4"/>
    <x v="0"/>
    <s v="فردى "/>
    <s v="ارفيل"/>
    <x v="3"/>
    <x v="1"/>
    <s v="٢ سرير ارفيل ١٢٠ اسود "/>
    <n v="4020"/>
    <x v="0"/>
    <n v="9"/>
    <n v="10"/>
    <x v="0"/>
    <d v="2024-09-12T00:00:00"/>
    <d v="2024-09-21T00:00:00"/>
    <d v="2024-09-22T00:00:00"/>
    <s v="تم التسليم محمود على "/>
    <x v="0"/>
  </r>
  <r>
    <s v="صفاء الحكيم"/>
    <x v="0"/>
    <s v="العين السخنه"/>
    <x v="7"/>
    <x v="0"/>
    <x v="0"/>
    <s v="منطبق"/>
    <s v="غير معروف"/>
    <x v="0"/>
    <x v="1"/>
    <s v="سرير منطببق اسود وقماش اسود"/>
    <n v="9399"/>
    <x v="0"/>
    <n v="8"/>
    <n v="0"/>
    <x v="1"/>
    <d v="2024-09-14T00:00:00"/>
    <d v="2024-09-22T00:00:00"/>
    <m/>
    <s v="فشل التسليم "/>
    <x v="1"/>
  </r>
  <r>
    <s v="يوسف شناوى"/>
    <x v="0"/>
    <s v="الابراهيميه . الإسكندرية "/>
    <x v="1"/>
    <x v="0"/>
    <x v="1"/>
    <s v="رف سحاب"/>
    <s v="غير معروف"/>
    <x v="0"/>
    <x v="3"/>
    <s v="ترابيزه قهوه علويه برف سحاب "/>
    <n v="8349"/>
    <x v="0"/>
    <n v="8"/>
    <n v="10"/>
    <x v="0"/>
    <d v="2024-09-14T00:00:00"/>
    <d v="2024-09-22T00:00:00"/>
    <d v="2024-09-24T00:00:00"/>
    <s v="تم التسليم عن طريق شركه شحن "/>
    <x v="0"/>
  </r>
  <r>
    <s v="حاتم العيسوي "/>
    <x v="0"/>
    <s v="٦ اكتوبر الجيزه "/>
    <x v="0"/>
    <x v="0"/>
    <x v="0"/>
    <s v="منطبق"/>
    <s v="غير معروف"/>
    <x v="0"/>
    <x v="1"/>
    <s v="سرير منطبق اسود حديد وقماش"/>
    <n v="9399"/>
    <x v="0"/>
    <n v="11"/>
    <n v="18"/>
    <x v="0"/>
    <d v="2024-09-13T00:00:00"/>
    <d v="2024-09-24T00:00:00"/>
    <d v="2024-10-01T00:00:00"/>
    <s v="تم التسليم عن طريق شركه شحن "/>
    <x v="0"/>
  </r>
  <r>
    <s v="رنا "/>
    <x v="0"/>
    <s v="القطاميه "/>
    <x v="5"/>
    <x v="0"/>
    <x v="1"/>
    <s v="ميكانزم"/>
    <s v="غير معروف"/>
    <x v="0"/>
    <x v="3"/>
    <s v="ترابيزه قهوه علويه جديده "/>
    <n v="7849"/>
    <x v="1"/>
    <n v="14"/>
    <n v="0"/>
    <x v="1"/>
    <d v="2024-09-12T00:00:00"/>
    <d v="2024-09-26T00:00:00"/>
    <m/>
    <s v="تم التسليم عن طريق شركه شحن "/>
    <x v="0"/>
  </r>
  <r>
    <s v="عبير نور الدين"/>
    <x v="0"/>
    <s v="١٨ شارع البحيري بولاق الدكرور الجيزه "/>
    <x v="0"/>
    <x v="2"/>
    <x v="0"/>
    <s v="ثلاثه ادوار"/>
    <s v="كيفنج"/>
    <x v="2"/>
    <x v="1"/>
    <s v="سرير ٣ ادورا اسود مقاس ١٠٠ "/>
    <n v="9450"/>
    <x v="1"/>
    <n v="14"/>
    <n v="0"/>
    <x v="1"/>
    <d v="2024-09-12T00:00:00"/>
    <d v="2024-09-26T00:00:00"/>
    <m/>
    <m/>
    <x v="1"/>
  </r>
  <r>
    <s v="اسراء ابو العنين "/>
    <x v="0"/>
    <s v="القاهره الجديده"/>
    <x v="5"/>
    <x v="0"/>
    <x v="0"/>
    <s v="فردى "/>
    <s v="اسبانى"/>
    <x v="3"/>
    <x v="1"/>
    <s v="سرير اسبانى اسود مقاس ١٢٠"/>
    <n v="7460"/>
    <x v="0"/>
    <n v="13"/>
    <n v="20"/>
    <x v="0"/>
    <d v="2024-09-13T00:00:00"/>
    <d v="2024-09-26T00:00:00"/>
    <d v="2024-10-03T00:00:00"/>
    <s v="تم التسليم محمود على "/>
    <x v="0"/>
  </r>
  <r>
    <s v="وائل صادق"/>
    <x v="0"/>
    <s v="القاهره الجديده"/>
    <x v="5"/>
    <x v="0"/>
    <x v="0"/>
    <s v="فردى "/>
    <s v="كورين"/>
    <x v="5"/>
    <x v="5"/>
    <s v="سرير كوين مقاس ١٤٠ دهبي ورمادى "/>
    <n v="9528"/>
    <x v="0"/>
    <n v="13"/>
    <n v="20"/>
    <x v="0"/>
    <d v="2024-09-13T00:00:00"/>
    <d v="2024-09-26T00:00:00"/>
    <d v="2024-10-03T00:00:00"/>
    <s v="تم التسليم محمود على "/>
    <x v="0"/>
  </r>
  <r>
    <s v="حسن مغرب "/>
    <x v="0"/>
    <s v="٦ اكتوبر الجيزه "/>
    <x v="0"/>
    <x v="0"/>
    <x v="0"/>
    <s v="دورين"/>
    <s v="كيفنج"/>
    <x v="3"/>
    <x v="4"/>
    <s v="سرير كيفنج ١٢٠ رمادى "/>
    <n v="12999"/>
    <x v="0"/>
    <n v="13"/>
    <n v="18"/>
    <x v="0"/>
    <d v="2024-09-14T00:00:00"/>
    <d v="2024-09-27T00:00:00"/>
    <d v="2024-10-02T00:00:00"/>
    <s v="تم التسليم محمود على "/>
    <x v="0"/>
  </r>
  <r>
    <s v="على السيد "/>
    <x v="0"/>
    <s v="الشروق القاهره "/>
    <x v="5"/>
    <x v="0"/>
    <x v="0"/>
    <s v="دورين"/>
    <s v="نوفال"/>
    <x v="1"/>
    <x v="1"/>
    <s v="سرير نوفال  ٩٠ اسود "/>
    <n v="5999"/>
    <x v="0"/>
    <n v="17"/>
    <n v="0"/>
    <x v="1"/>
    <d v="2024-09-12T00:00:00"/>
    <d v="2024-09-29T00:00:00"/>
    <m/>
    <m/>
    <x v="1"/>
  </r>
  <r>
    <s v="هشام بسيونى "/>
    <x v="0"/>
    <s v="حدايق الاهرام "/>
    <x v="0"/>
    <x v="0"/>
    <x v="0"/>
    <s v="دورين"/>
    <s v="كيفنج"/>
    <x v="2"/>
    <x v="1"/>
    <s v="            ٢ سرير كيفنج ١٠٠ اسود "/>
    <n v="11949"/>
    <x v="1"/>
    <n v="17"/>
    <n v="20"/>
    <x v="0"/>
    <d v="2024-09-12T00:00:00"/>
    <d v="2024-09-29T00:00:00"/>
    <d v="2024-10-02T00:00:00"/>
    <s v="تم التسليم محمود على "/>
    <x v="0"/>
  </r>
  <r>
    <s v="احمد "/>
    <x v="0"/>
    <s v="الشروق"/>
    <x v="5"/>
    <x v="0"/>
    <x v="0"/>
    <s v="ثلاثه ادوار"/>
    <s v="كيفنج"/>
    <x v="4"/>
    <x v="0"/>
    <s v="سرير ٣ ادوار ابيض مقاس ٨٠ ابيض "/>
    <n v="16599"/>
    <x v="0"/>
    <n v="17"/>
    <n v="20"/>
    <x v="0"/>
    <d v="2024-09-13T00:00:00"/>
    <d v="2024-09-30T00:00:00"/>
    <d v="2024-10-03T00:00:00"/>
    <s v="تم التسليم محمود على "/>
    <x v="0"/>
  </r>
  <r>
    <s v="ساره وجيه "/>
    <x v="0"/>
    <s v="الغردقه "/>
    <x v="3"/>
    <x v="0"/>
    <x v="0"/>
    <s v="دورين"/>
    <s v="كيفنج"/>
    <x v="4"/>
    <x v="0"/>
    <s v="سرير كيفنجدورينمقاس ٨٠ ابيض "/>
    <n v="10999"/>
    <x v="0"/>
    <n v="17"/>
    <n v="33"/>
    <x v="0"/>
    <d v="2024-09-13T00:00:00"/>
    <d v="2024-09-30T00:00:00"/>
    <d v="2024-10-16T00:00:00"/>
    <s v="تم التسليم عن طريق شركه شحن "/>
    <x v="0"/>
  </r>
  <r>
    <s v="مها "/>
    <x v="0"/>
    <s v="لافيستا العين السخنه "/>
    <x v="7"/>
    <x v="0"/>
    <x v="0"/>
    <s v="دورين"/>
    <s v="كيفنج"/>
    <x v="5"/>
    <x v="2"/>
    <s v="سرير استيل ازرق مقاس ١٤٠"/>
    <n v="13099"/>
    <x v="0"/>
    <n v="17"/>
    <n v="20"/>
    <x v="0"/>
    <d v="2024-09-13T00:00:00"/>
    <d v="2024-09-30T00:00:00"/>
    <d v="2024-10-03T00:00:00"/>
    <s v="تم التسليم عن طريق شركه شحن "/>
    <x v="0"/>
  </r>
  <r>
    <s v="بسام الشربينى "/>
    <x v="0"/>
    <s v="٦ اكتوبر الجيزه "/>
    <x v="0"/>
    <x v="0"/>
    <x v="0"/>
    <s v="دورين"/>
    <s v="كينج"/>
    <x v="3"/>
    <x v="6"/>
    <s v="سرير كينج ١٢٠ بنفسجى "/>
    <n v="13849"/>
    <x v="0"/>
    <n v="17"/>
    <n v="37"/>
    <x v="0"/>
    <d v="2024-09-13T00:00:00"/>
    <d v="2024-09-30T00:00:00"/>
    <d v="2024-10-20T00:00:00"/>
    <s v="تم التسليم محمود على "/>
    <x v="0"/>
  </r>
  <r>
    <s v="هبه عبد الفتاح "/>
    <x v="0"/>
    <s v="القاهره الجديده "/>
    <x v="5"/>
    <x v="0"/>
    <x v="2"/>
    <s v="4*1"/>
    <s v="غير معروف"/>
    <x v="0"/>
    <x v="1"/>
    <s v="كنبه سرير ٤ حركه "/>
    <n v="21999"/>
    <x v="0"/>
    <n v="17"/>
    <n v="0"/>
    <x v="1"/>
    <d v="2024-09-13T00:00:00"/>
    <d v="2024-09-30T00:00:00"/>
    <m/>
    <m/>
    <x v="0"/>
  </r>
  <r>
    <s v="اسراء ابراهيم "/>
    <x v="0"/>
    <s v="٦ اكتوبر الجيزه "/>
    <x v="0"/>
    <x v="0"/>
    <x v="0"/>
    <s v="دورين"/>
    <s v="كيفنج"/>
    <x v="4"/>
    <x v="0"/>
    <s v="سرير كيفنجدورينمقاس ٨٠ ابيض "/>
    <n v="10999"/>
    <x v="0"/>
    <n v="17"/>
    <n v="32"/>
    <x v="0"/>
    <d v="2024-09-13T00:00:00"/>
    <d v="2024-09-30T00:00:00"/>
    <d v="2024-10-15T00:00:00"/>
    <s v="تم التسليم محمود على "/>
    <x v="0"/>
  </r>
  <r>
    <s v="طارق كمال "/>
    <x v="0"/>
    <s v="المعادى"/>
    <x v="5"/>
    <x v="0"/>
    <x v="0"/>
    <s v="ثلاثه ادوار"/>
    <s v="كيفنج"/>
    <x v="1"/>
    <x v="1"/>
    <s v="سرير ٣ ادوار اسود مقاس ٩٠ "/>
    <n v="17249"/>
    <x v="0"/>
    <n v="17"/>
    <n v="21"/>
    <x v="0"/>
    <d v="2024-09-13T00:00:00"/>
    <d v="2024-09-30T00:00:00"/>
    <d v="2024-10-04T00:00:00"/>
    <s v="تم التسليم محمود على "/>
    <x v="0"/>
  </r>
  <r>
    <s v="ديفد بهجت "/>
    <x v="0"/>
    <s v="فيصل الجيزه"/>
    <x v="0"/>
    <x v="0"/>
    <x v="1"/>
    <s v="ميكانزم"/>
    <s v="غير معروف"/>
    <x v="0"/>
    <x v="3"/>
    <s v="تربيزه قهوه ٢ رافع"/>
    <n v="8349"/>
    <x v="0"/>
    <n v="32"/>
    <n v="37"/>
    <x v="0"/>
    <d v="2024-09-14T00:00:00"/>
    <d v="2024-10-16T00:00:00"/>
    <d v="2024-10-21T00:00:00"/>
    <s v="تم التسليم محمود على "/>
    <x v="0"/>
  </r>
  <r>
    <s v="اياد "/>
    <x v="0"/>
    <s v="المقطم "/>
    <x v="5"/>
    <x v="0"/>
    <x v="1"/>
    <s v="بمكتبة"/>
    <s v="غير معروف"/>
    <x v="0"/>
    <x v="3"/>
    <s v="ترابيزه قهوه متحركه "/>
    <n v="7849"/>
    <x v="0"/>
    <n v="45"/>
    <n v="46"/>
    <x v="0"/>
    <d v="2024-09-14T00:00:00"/>
    <d v="2024-10-29T00:00:00"/>
    <d v="2024-10-30T00:00:00"/>
    <s v="تم التسليم محمود على "/>
    <x v="0"/>
  </r>
  <r>
    <s v="ميار خورشد"/>
    <x v="0"/>
    <s v="٦ اكتوبر الجيزه "/>
    <x v="0"/>
    <x v="0"/>
    <x v="0"/>
    <s v="منطبق"/>
    <s v="غير معروف"/>
    <x v="0"/>
    <x v="1"/>
    <s v="سرير منطبق اسود حديد ومعدن "/>
    <n v="9399"/>
    <x v="0"/>
    <n v="45"/>
    <n v="31"/>
    <x v="1"/>
    <d v="2024-09-14T00:00:00"/>
    <d v="2024-10-29T00:00:00"/>
    <d v="2024-10-15T00:00:00"/>
    <s v="تم التسليم محمود على "/>
    <x v="0"/>
  </r>
  <r>
    <s v="عبد الله سيد "/>
    <x v="0"/>
    <s v="الشيخ زايد ٦ اكتوبر "/>
    <x v="0"/>
    <x v="0"/>
    <x v="0"/>
    <s v="فردى "/>
    <s v="اسبانى"/>
    <x v="5"/>
    <x v="1"/>
    <s v="سرير اسبانى  ١٤٠ اسود وبيج "/>
    <n v="11817"/>
    <x v="0"/>
    <n v="45"/>
    <n v="31"/>
    <x v="1"/>
    <d v="2024-09-14T00:00:00"/>
    <d v="2024-10-29T00:00:00"/>
    <d v="2024-10-15T00:00:00"/>
    <s v="تم التسليم محمود على "/>
    <x v="0"/>
  </r>
  <r>
    <s v="كينج سونا "/>
    <x v="0"/>
    <s v="الشروق"/>
    <x v="5"/>
    <x v="0"/>
    <x v="1"/>
    <s v="رف سحاب"/>
    <s v="غير معروف"/>
    <x v="0"/>
    <x v="3"/>
    <s v="تربيزه قهوه مرتفعه برف سحاب "/>
    <n v="8349"/>
    <x v="0"/>
    <n v="45"/>
    <n v="35"/>
    <x v="1"/>
    <d v="2024-09-14T00:00:00"/>
    <d v="2024-10-29T00:00:00"/>
    <d v="2024-10-19T00:00:00"/>
    <s v="تم التسليم محمود على "/>
    <x v="0"/>
  </r>
  <r>
    <s v="احمد خالد "/>
    <x v="0"/>
    <s v="الرحاب"/>
    <x v="5"/>
    <x v="0"/>
    <x v="0"/>
    <s v="فردى "/>
    <s v="فورجينا"/>
    <x v="3"/>
    <x v="0"/>
    <s v=" ٢. سرير فورجينا ابيض مقاس ١٢٠"/>
    <n v="17886"/>
    <x v="0"/>
    <n v="45"/>
    <n v="0"/>
    <x v="1"/>
    <d v="2024-09-14T00:00:00"/>
    <d v="2024-10-29T00:00:00"/>
    <m/>
    <m/>
    <x v="1"/>
  </r>
  <r>
    <s v="ساره"/>
    <x v="0"/>
    <s v="القاهره الجديده"/>
    <x v="5"/>
    <x v="0"/>
    <x v="0"/>
    <s v="فردى "/>
    <s v="اسبانى"/>
    <x v="3"/>
    <x v="0"/>
    <s v="   ٢. سرير اسبانى ابيض ١٢٠"/>
    <n v="10987"/>
    <x v="0"/>
    <n v="45"/>
    <n v="29"/>
    <x v="1"/>
    <d v="2024-09-14T00:00:00"/>
    <d v="2024-10-29T00:00:00"/>
    <d v="2024-10-13T00:00:00"/>
    <s v="تم التسليم محمود على "/>
    <x v="0"/>
  </r>
  <r>
    <s v="احمد ايمن "/>
    <x v="0"/>
    <s v="العبور"/>
    <x v="5"/>
    <x v="0"/>
    <x v="1"/>
    <s v="ميكانزم"/>
    <s v="غير معروف"/>
    <x v="0"/>
    <x v="3"/>
    <s v="ترابيزه قهوه علويه جديده "/>
    <n v="10319"/>
    <x v="0"/>
    <n v="45"/>
    <n v="35"/>
    <x v="1"/>
    <d v="2024-09-14T00:00:00"/>
    <d v="2024-10-29T00:00:00"/>
    <d v="2024-10-19T00:00:00"/>
    <s v="تم التسليم محمود على "/>
    <x v="0"/>
  </r>
  <r>
    <s v="مصطفي غنيم "/>
    <x v="0"/>
    <s v="اسيوط "/>
    <x v="8"/>
    <x v="0"/>
    <x v="0"/>
    <s v="دورين"/>
    <s v="كيفنج"/>
    <x v="3"/>
    <x v="4"/>
    <s v="سرير كيفنجدورينمقاس ١٢٠ رمادى "/>
    <n v="12999"/>
    <x v="0"/>
    <n v="67"/>
    <n v="33"/>
    <x v="1"/>
    <d v="2024-09-14T00:00:00"/>
    <d v="2024-11-20T00:00:00"/>
    <d v="2024-10-17T00:00:00"/>
    <s v="تم التسليم عن طريق شركه شحن "/>
    <x v="0"/>
  </r>
  <r>
    <s v="حسام عبدون"/>
    <x v="0"/>
    <s v="الغردقه"/>
    <x v="3"/>
    <x v="0"/>
    <x v="2"/>
    <s v="4*1"/>
    <s v="غير معروف"/>
    <x v="0"/>
    <x v="1"/>
    <s v="كنبه سرير ٤ حركه "/>
    <n v="21999"/>
    <x v="0"/>
    <n v="67"/>
    <n v="0"/>
    <x v="1"/>
    <d v="2024-09-14T00:00:00"/>
    <d v="2024-11-20T00:00:00"/>
    <m/>
    <m/>
    <x v="1"/>
  </r>
  <r>
    <s v="رامى "/>
    <x v="0"/>
    <s v="الشروق"/>
    <x v="5"/>
    <x v="0"/>
    <x v="0"/>
    <s v="دورين"/>
    <s v="نوفال"/>
    <x v="2"/>
    <x v="4"/>
    <s v="سرير نوفال ١٠٠ رمادى "/>
    <n v="12399"/>
    <x v="0"/>
    <n v="67"/>
    <n v="17"/>
    <x v="1"/>
    <d v="2024-09-14T00:00:00"/>
    <d v="2024-11-20T00:00:00"/>
    <d v="2024-10-01T00:00:00"/>
    <s v="تم التسليم عن طريق شركه شحن "/>
    <x v="0"/>
  </r>
  <r>
    <s v="رحاب"/>
    <x v="0"/>
    <s v="القاهره الجديده"/>
    <x v="5"/>
    <x v="0"/>
    <x v="2"/>
    <s v="4*1"/>
    <s v="غير معروف"/>
    <x v="0"/>
    <x v="1"/>
    <s v="كنبه سرير ٤ حركه "/>
    <n v="21999"/>
    <x v="0"/>
    <n v="67"/>
    <n v="25"/>
    <x v="1"/>
    <d v="2024-09-14T00:00:00"/>
    <d v="2024-11-20T00:00:00"/>
    <d v="2024-10-09T00:00:00"/>
    <s v="تم التسليم محمود على "/>
    <x v="0"/>
  </r>
  <r>
    <s v="فؤاد المنسي "/>
    <x v="0"/>
    <s v="المقطم "/>
    <x v="5"/>
    <x v="0"/>
    <x v="0"/>
    <s v="دورين"/>
    <s v="نوفال"/>
    <x v="4"/>
    <x v="0"/>
    <s v="سرير نوفال مقاس ٨٠ ابيض "/>
    <n v="10999"/>
    <x v="0"/>
    <n v="67"/>
    <n v="32"/>
    <x v="1"/>
    <d v="2024-09-14T00:00:00"/>
    <d v="2024-11-20T00:00:00"/>
    <d v="2024-10-16T00:00:00"/>
    <s v="تم التسليم محمود على "/>
    <x v="0"/>
  </r>
  <r>
    <s v="mohannad"/>
    <x v="0"/>
    <s v="EL-Maadi"/>
    <x v="5"/>
    <x v="0"/>
    <x v="0"/>
    <s v="دورين"/>
    <s v="كيفنج"/>
    <x v="4"/>
    <x v="0"/>
    <m/>
    <n v="10999"/>
    <x v="0"/>
    <n v="67"/>
    <n v="32"/>
    <x v="1"/>
    <d v="2024-09-14T00:00:00"/>
    <d v="2024-11-20T00:00:00"/>
    <d v="2024-10-16T00:00:00"/>
    <s v="تم التسليم محمود على "/>
    <x v="0"/>
  </r>
  <r>
    <s v="Mohamed Ayman"/>
    <x v="0"/>
    <s v="Madinet Badr"/>
    <x v="5"/>
    <x v="0"/>
    <x v="2"/>
    <s v="4*1"/>
    <s v="غير معروف"/>
    <x v="0"/>
    <x v="1"/>
    <m/>
    <n v="21999"/>
    <x v="0"/>
    <n v="67"/>
    <n v="35"/>
    <x v="1"/>
    <d v="2024-09-14T00:00:00"/>
    <d v="2024-11-20T00:00:00"/>
    <d v="2024-10-19T00:00:00"/>
    <s v="تم التسليم محمود على "/>
    <x v="0"/>
  </r>
  <r>
    <s v="اسامه"/>
    <x v="0"/>
    <s v="العين السخنه"/>
    <x v="9"/>
    <x v="0"/>
    <x v="1"/>
    <s v="ميكانزم"/>
    <s v="غير معروف"/>
    <x v="0"/>
    <x v="3"/>
    <m/>
    <n v="7849"/>
    <x v="1"/>
    <n v="44"/>
    <n v="59"/>
    <x v="0"/>
    <d v="2024-09-16T00:00:00"/>
    <d v="2024-10-30T00:00:00"/>
    <d v="2024-11-14T00:00:00"/>
    <s v="تم التسليم عن طريق شركه شحن "/>
    <x v="0"/>
  </r>
  <r>
    <s v="اوسكار راتن"/>
    <x v="1"/>
    <s v="المخزن ابو الغيط "/>
    <x v="10"/>
    <x v="4"/>
    <x v="0"/>
    <s v="دورين"/>
    <s v="كيفنج"/>
    <x v="4"/>
    <x v="0"/>
    <m/>
    <n v="5074"/>
    <x v="2"/>
    <n v="14"/>
    <n v="21"/>
    <x v="0"/>
    <d v="2024-09-21T00:00:00"/>
    <d v="2024-10-05T00:00:00"/>
    <d v="2024-10-12T00:00:00"/>
    <s v="تم التسليم محمود على "/>
    <x v="0"/>
  </r>
  <r>
    <s v="تاكى "/>
    <x v="1"/>
    <s v="العباسيه"/>
    <x v="5"/>
    <x v="3"/>
    <x v="0"/>
    <s v="دورين"/>
    <s v="كينج"/>
    <x v="2"/>
    <x v="7"/>
    <m/>
    <n v="6250"/>
    <x v="2"/>
    <n v="15"/>
    <n v="24"/>
    <x v="0"/>
    <d v="2024-09-23T00:00:00"/>
    <d v="2024-10-08T00:00:00"/>
    <d v="2024-10-17T00:00:00"/>
    <s v="تم التسليم محمود على "/>
    <x v="0"/>
  </r>
  <r>
    <s v="ولاء بدوى"/>
    <x v="0"/>
    <s v="العباسيه"/>
    <x v="5"/>
    <x v="0"/>
    <x v="0"/>
    <s v="فردى "/>
    <s v="فورجينا"/>
    <x v="3"/>
    <x v="0"/>
    <m/>
    <n v="8943"/>
    <x v="1"/>
    <n v="45"/>
    <n v="14"/>
    <x v="1"/>
    <d v="2024-09-26T00:00:00"/>
    <d v="2024-11-10T00:00:00"/>
    <d v="2024-10-10T00:00:00"/>
    <s v="تم التسليم محمود على "/>
    <x v="0"/>
  </r>
  <r>
    <s v="عبد الرحمن يسري"/>
    <x v="0"/>
    <s v="اكتوبر الجيزه"/>
    <x v="0"/>
    <x v="0"/>
    <x v="1"/>
    <s v="رف سحاب"/>
    <s v="غير معروف"/>
    <x v="0"/>
    <x v="3"/>
    <m/>
    <n v="8349"/>
    <x v="1"/>
    <n v="45"/>
    <n v="0"/>
    <x v="1"/>
    <d v="2024-09-26T00:00:00"/>
    <d v="2024-11-10T00:00:00"/>
    <m/>
    <m/>
    <x v="1"/>
  </r>
  <r>
    <s v="شيك هومز "/>
    <x v="1"/>
    <s v="التجمع"/>
    <x v="5"/>
    <x v="1"/>
    <x v="2"/>
    <s v="4*1"/>
    <s v="غير معروف"/>
    <x v="0"/>
    <x v="8"/>
    <m/>
    <n v="14950"/>
    <x v="0"/>
    <n v="18"/>
    <n v="17"/>
    <x v="1"/>
    <d v="2024-09-26T00:00:00"/>
    <d v="2024-10-14T00:00:00"/>
    <d v="2024-10-13T00:00:00"/>
    <s v="تم التسليم محمود على "/>
    <x v="0"/>
  </r>
  <r>
    <s v="شيك هومز "/>
    <x v="1"/>
    <m/>
    <x v="4"/>
    <x v="1"/>
    <x v="0"/>
    <s v="دورين"/>
    <s v="كينج"/>
    <x v="2"/>
    <x v="1"/>
    <m/>
    <n v="9208"/>
    <x v="1"/>
    <n v="18"/>
    <n v="0"/>
    <x v="1"/>
    <d v="2024-09-26T00:00:00"/>
    <d v="2024-10-14T00:00:00"/>
    <m/>
    <m/>
    <x v="1"/>
  </r>
  <r>
    <s v="شيك هومز "/>
    <x v="1"/>
    <m/>
    <x v="4"/>
    <x v="1"/>
    <x v="0"/>
    <s v="فردى "/>
    <s v="اسبانى"/>
    <x v="3"/>
    <x v="0"/>
    <m/>
    <n v="7433"/>
    <x v="0"/>
    <n v="21"/>
    <n v="22"/>
    <x v="0"/>
    <d v="2024-09-29T00:00:00"/>
    <d v="2024-10-20T00:00:00"/>
    <d v="2024-10-21T00:00:00"/>
    <s v="تم التسليم محمود على "/>
    <x v="0"/>
  </r>
  <r>
    <s v="اوسكار راتن"/>
    <x v="1"/>
    <s v="المخزن ابو الغيط "/>
    <x v="10"/>
    <x v="4"/>
    <x v="0"/>
    <s v="فردى "/>
    <s v="فورجينا"/>
    <x v="3"/>
    <x v="0"/>
    <m/>
    <n v="4020"/>
    <x v="2"/>
    <n v="13"/>
    <n v="13"/>
    <x v="0"/>
    <d v="2024-09-29T00:00:00"/>
    <d v="2024-10-12T00:00:00"/>
    <d v="2024-10-12T00:00:00"/>
    <s v="تم التسليم محمود على "/>
    <x v="0"/>
  </r>
  <r>
    <s v="الحج محمد السويس"/>
    <x v="0"/>
    <s v="السويس "/>
    <x v="9"/>
    <x v="5"/>
    <x v="0"/>
    <s v="دورين"/>
    <s v="فانتستيك"/>
    <x v="2"/>
    <x v="9"/>
    <m/>
    <n v="8544.9054400000005"/>
    <x v="3"/>
    <n v="8"/>
    <n v="8"/>
    <x v="0"/>
    <d v="2024-10-01T00:00:00"/>
    <d v="2024-10-09T00:00:00"/>
    <d v="2024-10-09T00:00:00"/>
    <s v="تم التسليم بمعرفه الحج سيد "/>
    <x v="0"/>
  </r>
  <r>
    <s v="الحج محمد السويس"/>
    <x v="0"/>
    <s v="السويس "/>
    <x v="9"/>
    <x v="5"/>
    <x v="0"/>
    <s v="منطبق"/>
    <s v="غير معروف"/>
    <x v="0"/>
    <x v="1"/>
    <m/>
    <n v="4600"/>
    <x v="3"/>
    <n v="8"/>
    <n v="8"/>
    <x v="0"/>
    <d v="2024-10-01T00:00:00"/>
    <d v="2024-10-09T00:00:00"/>
    <d v="2024-10-09T00:00:00"/>
    <s v="تم التسليم بمعرفه الحج سيد "/>
    <x v="0"/>
  </r>
  <r>
    <s v="الحج محمد السويس"/>
    <x v="0"/>
    <s v="السويس "/>
    <x v="9"/>
    <x v="5"/>
    <x v="2"/>
    <s v="فنيسيا"/>
    <s v="غير معروف"/>
    <x v="0"/>
    <x v="1"/>
    <m/>
    <n v="10000"/>
    <x v="3"/>
    <n v="8"/>
    <n v="8"/>
    <x v="0"/>
    <d v="2024-10-01T00:00:00"/>
    <d v="2024-10-09T00:00:00"/>
    <d v="2024-10-09T00:00:00"/>
    <s v="تم التسليم بمعرفه الحج سيد "/>
    <x v="0"/>
  </r>
  <r>
    <s v="الحج محمد السويس"/>
    <x v="0"/>
    <s v="السويس "/>
    <x v="9"/>
    <x v="5"/>
    <x v="5"/>
    <s v="غير معروف"/>
    <s v="غير معروف"/>
    <x v="0"/>
    <x v="1"/>
    <m/>
    <n v="10000"/>
    <x v="3"/>
    <n v="8"/>
    <n v="8"/>
    <x v="0"/>
    <d v="2024-10-01T00:00:00"/>
    <d v="2024-10-09T00:00:00"/>
    <d v="2024-10-09T00:00:00"/>
    <s v="تم التسليم بمعرفه الحج سيد "/>
    <x v="0"/>
  </r>
  <r>
    <s v="عمرو الأسود"/>
    <x v="0"/>
    <s v="الزمالك"/>
    <x v="5"/>
    <x v="0"/>
    <x v="0"/>
    <s v="منطبق"/>
    <s v="غير معروف"/>
    <x v="0"/>
    <x v="1"/>
    <m/>
    <n v="8899"/>
    <x v="1"/>
    <n v="45"/>
    <n v="0"/>
    <x v="1"/>
    <d v="2024-10-03T00:00:00"/>
    <d v="2024-11-17T00:00:00"/>
    <m/>
    <m/>
    <x v="1"/>
  </r>
  <r>
    <s v="شيك هومز "/>
    <x v="1"/>
    <s v="مخزن شيك هومز"/>
    <x v="4"/>
    <x v="1"/>
    <x v="2"/>
    <s v="4*1"/>
    <s v="غير معروف"/>
    <x v="0"/>
    <x v="1"/>
    <m/>
    <n v="14550"/>
    <x v="0"/>
    <n v="21"/>
    <n v="22"/>
    <x v="0"/>
    <d v="2024-10-08T00:00:00"/>
    <d v="2024-10-29T00:00:00"/>
    <d v="2024-10-30T00:00:00"/>
    <s v="تم التسليم محمود على "/>
    <x v="0"/>
  </r>
  <r>
    <s v="شيك هومز "/>
    <x v="1"/>
    <s v="أكتوبر "/>
    <x v="0"/>
    <x v="1"/>
    <x v="2"/>
    <s v="4*1"/>
    <s v="غير معروف"/>
    <x v="0"/>
    <x v="1"/>
    <m/>
    <n v="14550"/>
    <x v="0"/>
    <n v="22"/>
    <n v="8"/>
    <x v="1"/>
    <d v="2024-10-07T00:00:00"/>
    <d v="2024-10-29T00:00:00"/>
    <d v="2024-10-15T00:00:00"/>
    <s v="تم التسليم محمود على "/>
    <x v="0"/>
  </r>
  <r>
    <s v="شيك هومز "/>
    <x v="1"/>
    <m/>
    <x v="4"/>
    <x v="1"/>
    <x v="2"/>
    <s v="4*1"/>
    <s v="غير معروف"/>
    <x v="0"/>
    <x v="1"/>
    <m/>
    <n v="14550"/>
    <x v="1"/>
    <n v="21"/>
    <n v="23"/>
    <x v="0"/>
    <d v="2024-10-10T00:00:00"/>
    <d v="2024-10-31T00:00:00"/>
    <d v="2024-11-02T00:00:00"/>
    <s v="تم التسليم محمود على "/>
    <x v="0"/>
  </r>
  <r>
    <s v="keira"/>
    <x v="0"/>
    <s v="القاهره الجديده "/>
    <x v="5"/>
    <x v="0"/>
    <x v="0"/>
    <s v="دورين"/>
    <s v="نوفال"/>
    <x v="2"/>
    <x v="10"/>
    <m/>
    <n v="12899"/>
    <x v="1"/>
    <n v="65"/>
    <n v="20"/>
    <x v="1"/>
    <d v="2024-10-13T00:00:00"/>
    <d v="2024-12-17T00:00:00"/>
    <d v="2024-11-02T00:00:00"/>
    <s v="تم التسليم محمود على "/>
    <x v="0"/>
  </r>
  <r>
    <s v="tarek"/>
    <x v="0"/>
    <s v="مصر الجديده"/>
    <x v="5"/>
    <x v="0"/>
    <x v="0"/>
    <s v="دورين"/>
    <s v="كيفنج"/>
    <x v="4"/>
    <x v="0"/>
    <m/>
    <n v="10499"/>
    <x v="0"/>
    <n v="64"/>
    <n v="5"/>
    <x v="1"/>
    <d v="2024-10-16T00:00:00"/>
    <d v="2024-12-19T00:00:00"/>
    <d v="2024-10-21T00:00:00"/>
    <s v="تم التسليم محمود على "/>
    <x v="0"/>
  </r>
  <r>
    <s v="reem"/>
    <x v="0"/>
    <s v="البطاش اسكندريه"/>
    <x v="1"/>
    <x v="0"/>
    <x v="0"/>
    <s v="دورين"/>
    <s v="نوفال"/>
    <x v="5"/>
    <x v="10"/>
    <m/>
    <n v="12899"/>
    <x v="0"/>
    <n v="66"/>
    <n v="47"/>
    <x v="1"/>
    <d v="2024-10-17T00:00:00"/>
    <d v="2024-12-22T00:00:00"/>
    <d v="2024-12-03T00:00:00"/>
    <s v="تم التسليم عن طريق شركه شحن "/>
    <x v="0"/>
  </r>
  <r>
    <s v="هشام سامى"/>
    <x v="0"/>
    <s v="41 كومبوند جولدن جستس الدور 4 شقه 4"/>
    <x v="4"/>
    <x v="6"/>
    <x v="0"/>
    <s v="فردى "/>
    <s v="بلحه"/>
    <x v="5"/>
    <x v="8"/>
    <m/>
    <n v="5135"/>
    <x v="0"/>
    <n v="28"/>
    <n v="25"/>
    <x v="1"/>
    <d v="2024-10-20T00:00:00"/>
    <d v="2024-11-17T00:00:00"/>
    <d v="2024-11-14T00:00:00"/>
    <s v="تم التسليم محمود على "/>
    <x v="0"/>
  </r>
  <r>
    <s v="شيك هومز "/>
    <x v="1"/>
    <s v="اكتوبر الجيزه"/>
    <x v="0"/>
    <x v="1"/>
    <x v="0"/>
    <s v="دورين"/>
    <s v="فانتستيك"/>
    <x v="2"/>
    <x v="11"/>
    <m/>
    <n v="12777.5"/>
    <x v="1"/>
    <n v="21"/>
    <n v="27"/>
    <x v="0"/>
    <d v="2024-10-22T00:00:00"/>
    <d v="2024-11-12T00:00:00"/>
    <d v="2024-11-18T00:00:00"/>
    <s v="تم التسليم محمود على "/>
    <x v="0"/>
  </r>
  <r>
    <s v="اوسكار راتن"/>
    <x v="1"/>
    <s v="المعرض مدينه نصر"/>
    <x v="5"/>
    <x v="4"/>
    <x v="0"/>
    <s v="دورين"/>
    <s v="فانتستيك"/>
    <x v="2"/>
    <x v="11"/>
    <m/>
    <n v="8544.91"/>
    <x v="2"/>
    <n v="0"/>
    <n v="0"/>
    <x v="0"/>
    <d v="2024-10-22T00:00:00"/>
    <m/>
    <m/>
    <m/>
    <x v="1"/>
  </r>
  <r>
    <s v="فاطمه محمد"/>
    <x v="0"/>
    <s v="أكتوبر الجيزه"/>
    <x v="0"/>
    <x v="0"/>
    <x v="0"/>
    <s v="فردى "/>
    <s v="فورجينا"/>
    <x v="3"/>
    <x v="0"/>
    <m/>
    <n v="8943"/>
    <x v="1"/>
    <n v="24"/>
    <n v="28"/>
    <x v="0"/>
    <d v="2024-10-21T00:00:00"/>
    <d v="2024-11-14T00:00:00"/>
    <d v="2024-11-18T00:00:00"/>
    <s v="تم التسليم محمود على "/>
    <x v="0"/>
  </r>
  <r>
    <s v="شيك هومز "/>
    <x v="1"/>
    <m/>
    <x v="4"/>
    <x v="1"/>
    <x v="2"/>
    <s v="4*1"/>
    <s v="غير معروف"/>
    <x v="0"/>
    <x v="1"/>
    <m/>
    <n v="15516"/>
    <x v="0"/>
    <n v="21"/>
    <n v="6"/>
    <x v="1"/>
    <d v="2024-10-24T00:00:00"/>
    <d v="2024-11-14T00:00:00"/>
    <d v="2024-10-30T00:00:00"/>
    <s v="تم التسليم محمود على "/>
    <x v="0"/>
  </r>
  <r>
    <s v="شيك هومز "/>
    <x v="1"/>
    <m/>
    <x v="4"/>
    <x v="1"/>
    <x v="0"/>
    <s v="دورين"/>
    <s v="كينج"/>
    <x v="2"/>
    <x v="1"/>
    <m/>
    <n v="10045"/>
    <x v="1"/>
    <n v="21"/>
    <n v="0"/>
    <x v="1"/>
    <d v="2024-10-26T00:00:00"/>
    <d v="2024-11-16T00:00:00"/>
    <m/>
    <m/>
    <x v="1"/>
  </r>
  <r>
    <s v="ساره"/>
    <x v="0"/>
    <s v="الشيخ زايد اكتوبر"/>
    <x v="0"/>
    <x v="0"/>
    <x v="0"/>
    <s v="دورين"/>
    <s v="كينج"/>
    <x v="1"/>
    <x v="1"/>
    <m/>
    <n v="11649"/>
    <x v="1"/>
    <n v="15"/>
    <n v="23"/>
    <x v="0"/>
    <d v="2024-10-26T00:00:00"/>
    <d v="2024-11-10T00:00:00"/>
    <d v="2024-11-18T00:00:00"/>
    <s v="تم التسليم محمود على "/>
    <x v="0"/>
  </r>
  <r>
    <s v="بولا هومزمارت"/>
    <x v="0"/>
    <s v="المعادى"/>
    <x v="5"/>
    <x v="0"/>
    <x v="0"/>
    <s v="فردى "/>
    <s v="اسبانى"/>
    <x v="2"/>
    <x v="0"/>
    <m/>
    <n v="5100"/>
    <x v="1"/>
    <n v="14"/>
    <n v="24"/>
    <x v="0"/>
    <d v="2024-10-28T00:00:00"/>
    <d v="2024-11-11T00:00:00"/>
    <d v="2024-11-21T00:00:00"/>
    <s v="تم التسليم محمود على "/>
    <x v="0"/>
  </r>
  <r>
    <s v="بولا هومزمارت"/>
    <x v="0"/>
    <s v="المعادى"/>
    <x v="5"/>
    <x v="0"/>
    <x v="0"/>
    <s v="فردى "/>
    <s v="اسبانى"/>
    <x v="3"/>
    <x v="0"/>
    <m/>
    <n v="5300"/>
    <x v="1"/>
    <n v="14"/>
    <n v="24"/>
    <x v="0"/>
    <d v="2024-10-28T00:00:00"/>
    <d v="2024-11-11T00:00:00"/>
    <d v="2024-11-21T00:00:00"/>
    <s v="تم التسليم محمود على "/>
    <x v="0"/>
  </r>
  <r>
    <s v="محمد شكرى "/>
    <x v="0"/>
    <s v="مدينتى"/>
    <x v="5"/>
    <x v="0"/>
    <x v="0"/>
    <s v="دورين"/>
    <s v="كيفنج"/>
    <x v="4"/>
    <x v="0"/>
    <m/>
    <n v="12099"/>
    <x v="0"/>
    <n v="15"/>
    <n v="16"/>
    <x v="0"/>
    <d v="2024-11-11T00:00:00"/>
    <d v="2024-11-26T00:00:00"/>
    <d v="2024-11-27T00:00:00"/>
    <s v="تم التسليم محمود على "/>
    <x v="0"/>
  </r>
  <r>
    <s v="شيك هومز"/>
    <x v="1"/>
    <s v="مخزن شيك هومز"/>
    <x v="4"/>
    <x v="1"/>
    <x v="2"/>
    <s v="4*1"/>
    <s v="ارينا"/>
    <x v="0"/>
    <x v="1"/>
    <m/>
    <n v="15872"/>
    <x v="0"/>
    <n v="4"/>
    <n v="6"/>
    <x v="0"/>
    <d v="2024-11-08T00:00:00"/>
    <d v="2024-11-12T00:00:00"/>
    <d v="2024-11-14T00:00:00"/>
    <s v="تم التسليم محمود على "/>
    <x v="0"/>
  </r>
  <r>
    <s v="منزلى"/>
    <x v="0"/>
    <s v="التجمع الخامس"/>
    <x v="5"/>
    <x v="6"/>
    <x v="0"/>
    <s v="فردى "/>
    <s v="فورجينا"/>
    <x v="3"/>
    <x v="0"/>
    <m/>
    <n v="4520"/>
    <x v="2"/>
    <n v="12"/>
    <n v="11"/>
    <x v="1"/>
    <d v="2024-11-10T00:00:00"/>
    <d v="2024-11-22T00:00:00"/>
    <d v="2024-11-21T00:00:00"/>
    <s v="تم التسليم محمود على "/>
    <x v="0"/>
  </r>
  <r>
    <s v="اوسكار راتن"/>
    <x v="1"/>
    <s v="المخزن ابو الغيط "/>
    <x v="10"/>
    <x v="4"/>
    <x v="0"/>
    <s v="دورين"/>
    <s v="كينج"/>
    <x v="1"/>
    <x v="1"/>
    <m/>
    <n v="5766"/>
    <x v="2"/>
    <n v="14"/>
    <n v="13"/>
    <x v="1"/>
    <d v="2024-11-12T00:00:00"/>
    <d v="2024-11-26T00:00:00"/>
    <d v="2024-11-25T00:00:00"/>
    <s v="تم التسليم محمود على "/>
    <x v="0"/>
  </r>
  <r>
    <s v="حماده"/>
    <x v="0"/>
    <s v="المعادى"/>
    <x v="5"/>
    <x v="0"/>
    <x v="0"/>
    <s v="فردى "/>
    <s v="فورجينا"/>
    <x v="6"/>
    <x v="6"/>
    <m/>
    <n v="11395"/>
    <x v="0"/>
    <n v="12"/>
    <n v="15"/>
    <x v="0"/>
    <d v="2024-11-12T00:00:00"/>
    <d v="2024-11-24T00:00:00"/>
    <d v="2024-11-27T00:00:00"/>
    <s v="تم التسليم محمود على "/>
    <x v="0"/>
  </r>
  <r>
    <s v="صفاء عبد الباقي"/>
    <x v="0"/>
    <s v="التجمع الخامس"/>
    <x v="5"/>
    <x v="0"/>
    <x v="0"/>
    <s v="دورين"/>
    <s v="كينج"/>
    <x v="4"/>
    <x v="0"/>
    <m/>
    <n v="12919"/>
    <x v="0"/>
    <n v="16"/>
    <n v="13"/>
    <x v="1"/>
    <d v="2024-11-14T00:00:00"/>
    <d v="2024-11-30T00:00:00"/>
    <d v="2024-11-27T00:00:00"/>
    <s v="تم التسليم محمود على "/>
    <x v="0"/>
  </r>
  <r>
    <s v="اوسكار راتن"/>
    <x v="1"/>
    <s v="المخزن ابو الغيط "/>
    <x v="10"/>
    <x v="4"/>
    <x v="0"/>
    <s v="دورين"/>
    <s v="نوفال"/>
    <x v="3"/>
    <x v="4"/>
    <m/>
    <n v="6376"/>
    <x v="2"/>
    <n v="13"/>
    <n v="11"/>
    <x v="1"/>
    <d v="2024-11-14T00:00:00"/>
    <d v="2024-11-27T00:00:00"/>
    <d v="2024-11-25T00:00:00"/>
    <s v="تم التسليم محمود على "/>
    <x v="0"/>
  </r>
  <r>
    <s v="اوسكار راتن"/>
    <x v="1"/>
    <s v="المخزن"/>
    <x v="4"/>
    <x v="4"/>
    <x v="0"/>
    <s v="دورين"/>
    <s v="نوفال"/>
    <x v="1"/>
    <x v="1"/>
    <m/>
    <n v="5294"/>
    <x v="2"/>
    <n v="13"/>
    <n v="11"/>
    <x v="1"/>
    <d v="2024-11-14T00:00:00"/>
    <d v="2024-11-27T00:00:00"/>
    <d v="2024-11-25T00:00:00"/>
    <s v="تم التسليم محمود على "/>
    <x v="0"/>
  </r>
  <r>
    <s v="رندا العامرى "/>
    <x v="0"/>
    <s v="٦ اكتوبر الجيزه "/>
    <x v="0"/>
    <x v="7"/>
    <x v="0"/>
    <s v="دورين"/>
    <s v="كيفنج"/>
    <x v="4"/>
    <x v="0"/>
    <m/>
    <n v="7396"/>
    <x v="0"/>
    <n v="11"/>
    <n v="9"/>
    <x v="1"/>
    <d v="2024-11-17T00:00:00"/>
    <d v="2024-11-28T00:00:00"/>
    <d v="2024-11-26T00:00:00"/>
    <s v="تم التسليم محمود على "/>
    <x v="0"/>
  </r>
  <r>
    <s v="ساره"/>
    <x v="0"/>
    <s v="٦ اكتوبر الجيزه"/>
    <x v="0"/>
    <x v="0"/>
    <x v="0"/>
    <s v="دورين"/>
    <s v="كينج"/>
    <x v="1"/>
    <x v="1"/>
    <m/>
    <n v="13439"/>
    <x v="1"/>
    <n v="15"/>
    <n v="6"/>
    <x v="1"/>
    <d v="2024-11-20T00:00:00"/>
    <d v="2024-12-05T00:00:00"/>
    <d v="2024-11-26T00:00:00"/>
    <s v="تم التسليم محمود على "/>
    <x v="0"/>
  </r>
  <r>
    <s v="تاكى "/>
    <x v="1"/>
    <s v="العباسيه "/>
    <x v="5"/>
    <x v="3"/>
    <x v="0"/>
    <s v="فردى "/>
    <s v="امريكى"/>
    <x v="6"/>
    <x v="1"/>
    <m/>
    <n v="5100"/>
    <x v="2"/>
    <n v="24"/>
    <n v="0"/>
    <x v="1"/>
    <d v="2024-11-14T00:00:00"/>
    <d v="2024-12-08T00:00:00"/>
    <m/>
    <m/>
    <x v="1"/>
  </r>
  <r>
    <s v="محمد حمدى"/>
    <x v="0"/>
    <s v="مصر الجديده"/>
    <x v="5"/>
    <x v="2"/>
    <x v="0"/>
    <s v="فردى "/>
    <s v="كوين "/>
    <x v="6"/>
    <x v="5"/>
    <m/>
    <n v="6000"/>
    <x v="1"/>
    <n v="10"/>
    <n v="5"/>
    <x v="1"/>
    <d v="2024-11-22T00:00:00"/>
    <d v="2024-12-02T00:00:00"/>
    <d v="2024-11-27T00:00:00"/>
    <s v="تم التسليم محمود على "/>
    <x v="0"/>
  </r>
  <r>
    <s v="بافلى هانى "/>
    <x v="0"/>
    <s v="شبرا "/>
    <x v="5"/>
    <x v="0"/>
    <x v="0"/>
    <s v="فردى "/>
    <s v="اسبانى"/>
    <x v="3"/>
    <x v="4"/>
    <m/>
    <n v="10885"/>
    <x v="1"/>
    <n v="11"/>
    <n v="16"/>
    <x v="0"/>
    <d v="2024-11-24T00:00:00"/>
    <d v="2024-12-05T00:00:00"/>
    <d v="2024-12-10T00:00:00"/>
    <s v="تم التسليم محمود على "/>
    <x v="0"/>
  </r>
  <r>
    <s v="تاكى "/>
    <x v="1"/>
    <s v="العباسيه "/>
    <x v="5"/>
    <x v="3"/>
    <x v="2"/>
    <s v="t1"/>
    <s v="t1"/>
    <x v="0"/>
    <x v="3"/>
    <m/>
    <n v="6000"/>
    <x v="1"/>
    <n v="16"/>
    <n v="1"/>
    <x v="1"/>
    <d v="2024-11-19T00:00:00"/>
    <d v="2024-12-05T00:00:00"/>
    <d v="2024-11-20T00:00:00"/>
    <s v="تم التسليم م محمد "/>
    <x v="0"/>
  </r>
  <r>
    <s v="رنا ميلاد"/>
    <x v="0"/>
    <s v="جليم الإسكندرية "/>
    <x v="1"/>
    <x v="0"/>
    <x v="1"/>
    <s v="غير معروف"/>
    <s v="مكتبه"/>
    <x v="0"/>
    <x v="3"/>
    <m/>
    <n v="8449"/>
    <x v="0"/>
    <n v="13"/>
    <n v="26"/>
    <x v="0"/>
    <d v="2024-11-27T00:00:00"/>
    <d v="2024-12-10T00:00:00"/>
    <d v="2024-12-23T00:00:00"/>
    <s v="تم التسليم عن طريق شركه شحن "/>
    <x v="0"/>
  </r>
  <r>
    <s v="محمد ناجى"/>
    <x v="0"/>
    <s v="مدينه نصر "/>
    <x v="5"/>
    <x v="0"/>
    <x v="1"/>
    <s v="دوران"/>
    <s v="ميكانزم"/>
    <x v="0"/>
    <x v="0"/>
    <m/>
    <n v="10249"/>
    <x v="1"/>
    <n v="13"/>
    <n v="22"/>
    <x v="0"/>
    <d v="2024-11-27T00:00:00"/>
    <d v="2024-12-10T00:00:00"/>
    <d v="2024-12-19T00:00:00"/>
    <s v="تم التسليم محمود على "/>
    <x v="0"/>
  </r>
  <r>
    <s v="احمد عبد الستار"/>
    <x v="0"/>
    <s v="المندره اسكندريه"/>
    <x v="1"/>
    <x v="0"/>
    <x v="0"/>
    <s v="دورين"/>
    <s v="كيفنج"/>
    <x v="2"/>
    <x v="1"/>
    <m/>
    <n v="14905"/>
    <x v="0"/>
    <n v="16"/>
    <n v="0"/>
    <x v="1"/>
    <d v="2024-11-29T00:00:00"/>
    <d v="2024-12-15T00:00:00"/>
    <m/>
    <s v="العميل رفض الاستلام"/>
    <x v="1"/>
  </r>
  <r>
    <s v="نور "/>
    <x v="0"/>
    <s v="القاهره الجديده"/>
    <x v="5"/>
    <x v="0"/>
    <x v="1"/>
    <s v="دوران"/>
    <s v="ميكانزم"/>
    <x v="0"/>
    <x v="1"/>
    <m/>
    <n v="10249"/>
    <x v="0"/>
    <n v="12"/>
    <n v="0"/>
    <x v="1"/>
    <d v="2024-11-30T00:00:00"/>
    <d v="2024-12-12T00:00:00"/>
    <m/>
    <m/>
    <x v="1"/>
  </r>
  <r>
    <s v="نور"/>
    <x v="0"/>
    <s v="القاهره الجديده"/>
    <x v="5"/>
    <x v="0"/>
    <x v="1"/>
    <s v="رف سحاب"/>
    <s v="غير معروف"/>
    <x v="0"/>
    <x v="1"/>
    <m/>
    <n v="9029"/>
    <x v="0"/>
    <n v="12"/>
    <n v="0"/>
    <x v="1"/>
    <d v="2024-11-30T00:00:00"/>
    <d v="2024-12-12T00:00:00"/>
    <m/>
    <m/>
    <x v="1"/>
  </r>
  <r>
    <s v="تامر"/>
    <x v="0"/>
    <s v="العين السخنه"/>
    <x v="9"/>
    <x v="0"/>
    <x v="1"/>
    <s v="ميكانزم"/>
    <s v="غير معروف"/>
    <x v="0"/>
    <x v="1"/>
    <m/>
    <n v="9029"/>
    <x v="0"/>
    <n v="12"/>
    <n v="0"/>
    <x v="1"/>
    <d v="2024-11-30T00:00:00"/>
    <d v="2024-12-12T00:00:00"/>
    <m/>
    <m/>
    <x v="1"/>
  </r>
  <r>
    <s v="هناء اسامه"/>
    <x v="0"/>
    <s v="القطاميه"/>
    <x v="5"/>
    <x v="0"/>
    <x v="0"/>
    <s v="دورين"/>
    <s v="نوفال"/>
    <x v="4"/>
    <x v="0"/>
    <m/>
    <n v="12099"/>
    <x v="0"/>
    <n v="15"/>
    <n v="0"/>
    <x v="1"/>
    <d v="2024-12-02T00:00:00"/>
    <d v="2024-12-17T00:00:00"/>
    <m/>
    <m/>
    <x v="1"/>
  </r>
  <r>
    <s v="اوسكار راتن"/>
    <x v="1"/>
    <s v="المخزن ابو الغيط "/>
    <x v="10"/>
    <x v="4"/>
    <x v="0"/>
    <s v="دورين"/>
    <s v="كيفنج"/>
    <x v="1"/>
    <x v="2"/>
    <m/>
    <n v="5217"/>
    <x v="2"/>
    <n v="13"/>
    <n v="9"/>
    <x v="1"/>
    <d v="2024-12-01T00:00:00"/>
    <d v="2024-12-14T00:00:00"/>
    <d v="2024-12-10T00:00:00"/>
    <s v="تم التسليم محمود على "/>
    <x v="0"/>
  </r>
  <r>
    <s v="محمد عادل "/>
    <x v="0"/>
    <s v="العبور"/>
    <x v="5"/>
    <x v="0"/>
    <x v="0"/>
    <s v="منطبق"/>
    <s v="غير معروف"/>
    <x v="0"/>
    <x v="1"/>
    <m/>
    <n v="10249"/>
    <x v="1"/>
    <n v="10"/>
    <n v="15"/>
    <x v="0"/>
    <d v="2024-12-04T00:00:00"/>
    <d v="2024-12-14T00:00:00"/>
    <d v="2024-12-19T00:00:00"/>
    <s v="تم التسليم محمود على "/>
    <x v="0"/>
  </r>
  <r>
    <s v="مريم عنان"/>
    <x v="0"/>
    <s v="اب تاون كايرو التجمع "/>
    <x v="5"/>
    <x v="1"/>
    <x v="0"/>
    <s v="دورين"/>
    <s v="كينج"/>
    <x v="0"/>
    <x v="1"/>
    <m/>
    <n v="10445"/>
    <x v="1"/>
    <n v="22"/>
    <n v="3"/>
    <x v="1"/>
    <d v="2024-12-09T00:00:00"/>
    <d v="2024-12-31T00:00:00"/>
    <d v="2024-12-12T00:00:00"/>
    <s v="تم التسليم محمود على "/>
    <x v="0"/>
  </r>
  <r>
    <s v="هبه عطيه "/>
    <x v="0"/>
    <s v="القاهره الجديده"/>
    <x v="5"/>
    <x v="0"/>
    <x v="1"/>
    <s v="دوران"/>
    <s v="ميكانزم"/>
    <x v="0"/>
    <x v="1"/>
    <m/>
    <n v="11199"/>
    <x v="1"/>
    <n v="12"/>
    <n v="7"/>
    <x v="1"/>
    <d v="2024-12-12T00:00:00"/>
    <d v="2024-12-24T00:00:00"/>
    <d v="2024-12-19T00:00:00"/>
    <s v="تم التسليم محمود على "/>
    <x v="0"/>
  </r>
  <r>
    <s v="حمدى ذكرى"/>
    <x v="0"/>
    <s v="٦ اكتوبر الجيزه"/>
    <x v="0"/>
    <x v="0"/>
    <x v="0"/>
    <s v="دورين"/>
    <s v="نوفال"/>
    <x v="4"/>
    <x v="1"/>
    <m/>
    <n v="13099"/>
    <x v="1"/>
    <n v="16"/>
    <n v="17"/>
    <x v="0"/>
    <d v="2024-12-12T00:00:00"/>
    <d v="2024-12-28T00:00:00"/>
    <d v="2024-12-29T00:00:00"/>
    <s v="تم التسليم محمود على "/>
    <x v="0"/>
  </r>
  <r>
    <s v="شيك هومز"/>
    <x v="1"/>
    <s v="مخزن شيك هومز"/>
    <x v="4"/>
    <x v="1"/>
    <x v="2"/>
    <s v="4*1"/>
    <s v="ارينا"/>
    <x v="0"/>
    <x v="1"/>
    <m/>
    <n v="8700"/>
    <x v="2"/>
    <n v="22"/>
    <n v="15"/>
    <x v="1"/>
    <d v="2024-12-14T00:00:00"/>
    <d v="2025-01-05T00:00:00"/>
    <d v="2024-12-29T00:00:00"/>
    <s v="تم التسليم محمود على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3A3A9C-831E-41C1-83BE-D1A6E29956B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P1:Q4" firstHeaderRow="1" firstDataRow="1" firstDataCol="1"/>
  <pivotFields count="21">
    <pivotField showAll="0"/>
    <pivotField showAll="0">
      <items count="3">
        <item x="0"/>
        <item h="1" x="1"/>
        <item t="default"/>
      </items>
    </pivotField>
    <pivotField showAll="0"/>
    <pivotField showAll="0">
      <items count="14">
        <item x="8"/>
        <item x="1"/>
        <item x="3"/>
        <item x="0"/>
        <item x="9"/>
        <item x="7"/>
        <item x="5"/>
        <item m="1" x="11"/>
        <item x="10"/>
        <item x="6"/>
        <item x="4"/>
        <item x="2"/>
        <item m="1" x="12"/>
        <item t="default"/>
      </items>
    </pivotField>
    <pivotField showAll="0">
      <items count="9">
        <item x="4"/>
        <item x="3"/>
        <item x="1"/>
        <item x="5"/>
        <item x="2"/>
        <item x="7"/>
        <item x="6"/>
        <item x="0"/>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3">
        <item n="Later" x="0"/>
        <item n="On time" x="1"/>
        <item t="default"/>
      </items>
    </pivotField>
    <pivotField showAll="0"/>
    <pivotField showAll="0"/>
    <pivotField showAll="0"/>
    <pivotField showAll="0"/>
    <pivotField showAll="0">
      <items count="5">
        <item h="1" x="0"/>
        <item x="1"/>
        <item h="1" m="1" x="3"/>
        <item h="1" m="1" x="2"/>
        <item t="default"/>
      </items>
    </pivotField>
  </pivotFields>
  <rowFields count="1">
    <field x="15"/>
  </rowFields>
  <rowItems count="3">
    <i>
      <x/>
    </i>
    <i>
      <x v="1"/>
    </i>
    <i t="grand">
      <x/>
    </i>
  </rowItems>
  <colItems count="1">
    <i/>
  </colItems>
  <dataFields count="1">
    <dataField name="Count of  في الموعد " fld="15" subtotal="count" showDataAs="percentOfTotal" baseField="15" baseItem="0" numFmtId="10"/>
  </dataField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5" count="1" selected="0">
            <x v="0"/>
          </reference>
        </references>
      </pivotArea>
    </chartFormat>
    <chartFormat chart="11" format="2">
      <pivotArea type="data" outline="0" fieldPosition="0">
        <references count="2">
          <reference field="4294967294" count="1" selected="0">
            <x v="0"/>
          </reference>
          <reference field="15"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15" count="1" selected="0">
            <x v="0"/>
          </reference>
        </references>
      </pivotArea>
    </chartFormat>
    <chartFormat chart="26" format="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5D81BE-9109-48F7-A7DD-30152421CF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B2" firstHeaderRow="1" firstDataRow="1" firstDataCol="0"/>
  <pivotFields count="21">
    <pivotField showAll="0"/>
    <pivotField showAll="0">
      <items count="3">
        <item x="0"/>
        <item h="1" x="1"/>
        <item t="default"/>
      </items>
    </pivotField>
    <pivotField showAll="0"/>
    <pivotField showAll="0">
      <items count="14">
        <item x="8"/>
        <item x="1"/>
        <item x="3"/>
        <item x="0"/>
        <item x="9"/>
        <item x="7"/>
        <item x="5"/>
        <item m="1" x="11"/>
        <item x="10"/>
        <item x="6"/>
        <item x="4"/>
        <item x="2"/>
        <item m="1" x="12"/>
        <item t="default"/>
      </items>
    </pivotField>
    <pivotField showAll="0">
      <items count="9">
        <item x="4"/>
        <item x="3"/>
        <item x="1"/>
        <item x="5"/>
        <item x="2"/>
        <item x="7"/>
        <item x="6"/>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5">
        <item h="1" x="0"/>
        <item x="1"/>
        <item h="1" m="1" x="3"/>
        <item h="1" m="1" x="2"/>
        <item t="default"/>
      </items>
    </pivotField>
  </pivotFields>
  <rowItems count="1">
    <i/>
  </rowItems>
  <colItems count="1">
    <i/>
  </colItems>
  <dataFields count="1">
    <dataField name="Total Sales" fld="11" baseField="0" baseItem="0" numFmtId="1"/>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3A9C7A-1716-49AB-AA23-8D24C06F64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S1:T3" firstHeaderRow="1" firstDataRow="1" firstDataCol="1"/>
  <pivotFields count="21">
    <pivotField showAll="0"/>
    <pivotField showAll="0">
      <items count="3">
        <item x="0"/>
        <item h="1" x="1"/>
        <item t="default"/>
      </items>
    </pivotField>
    <pivotField showAll="0"/>
    <pivotField showAll="0">
      <items count="14">
        <item x="8"/>
        <item x="1"/>
        <item x="3"/>
        <item x="0"/>
        <item x="9"/>
        <item x="7"/>
        <item x="5"/>
        <item m="1" x="11"/>
        <item x="10"/>
        <item x="6"/>
        <item x="4"/>
        <item x="2"/>
        <item m="1" x="12"/>
        <item t="default"/>
      </items>
    </pivotField>
    <pivotField showAll="0">
      <items count="9">
        <item x="4"/>
        <item x="3"/>
        <item x="1"/>
        <item x="5"/>
        <item x="2"/>
        <item x="7"/>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h="1" x="0"/>
        <item x="1"/>
        <item h="1" m="1" x="3"/>
        <item h="1" m="1" x="2"/>
        <item t="default"/>
      </items>
    </pivotField>
  </pivotFields>
  <rowFields count="1">
    <field x="20"/>
  </rowFields>
  <rowItems count="2">
    <i>
      <x v="1"/>
    </i>
    <i t="grand">
      <x/>
    </i>
  </rowItems>
  <colItems count="1">
    <i/>
  </colItems>
  <dataFields count="1">
    <dataField name="Count of الحالة" fld="20" subtotal="count" baseField="0" baseItem="0"/>
  </dataFields>
  <chartFormats count="6">
    <chartFormat chart="11"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20" count="1" selected="0">
            <x v="0"/>
          </reference>
        </references>
      </pivotArea>
    </chartFormat>
    <chartFormat chart="27" format="6">
      <pivotArea type="data" outline="0" fieldPosition="0">
        <references count="2">
          <reference field="4294967294" count="1" selected="0">
            <x v="0"/>
          </reference>
          <reference field="20" count="1" selected="0">
            <x v="1"/>
          </reference>
        </references>
      </pivotArea>
    </chartFormat>
    <chartFormat chart="11" format="1">
      <pivotArea type="data" outline="0" fieldPosition="0">
        <references count="2">
          <reference field="4294967294" count="1" selected="0">
            <x v="0"/>
          </reference>
          <reference field="20" count="1" selected="0">
            <x v="0"/>
          </reference>
        </references>
      </pivotArea>
    </chartFormat>
    <chartFormat chart="11" format="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98D1D9-8F03-4243-8104-43162AFA4A9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1:AM2" firstHeaderRow="1"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مدة التسليم (الفعلي)"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9C2AFD-661D-4D43-80D1-8BA4C758B0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21">
    <pivotField showAll="0"/>
    <pivotField showAll="0">
      <items count="3">
        <item x="0"/>
        <item h="1" x="1"/>
        <item t="default"/>
      </items>
    </pivotField>
    <pivotField showAll="0"/>
    <pivotField showAll="0">
      <items count="14">
        <item x="8"/>
        <item x="1"/>
        <item x="3"/>
        <item x="0"/>
        <item x="9"/>
        <item x="7"/>
        <item x="5"/>
        <item m="1" x="11"/>
        <item x="10"/>
        <item x="6"/>
        <item x="4"/>
        <item x="2"/>
        <item m="1" x="12"/>
        <item t="default"/>
      </items>
    </pivotField>
    <pivotField showAll="0">
      <items count="9">
        <item x="4"/>
        <item x="3"/>
        <item x="1"/>
        <item x="5"/>
        <item x="2"/>
        <item x="7"/>
        <item x="6"/>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5">
        <item h="1" x="0"/>
        <item x="1"/>
        <item h="1" m="1" x="3"/>
        <item h="1" m="1" x="2"/>
        <item t="default"/>
      </items>
    </pivotField>
  </pivotFields>
  <rowItems count="1">
    <i/>
  </rowItems>
  <colItems count="1">
    <i/>
  </colItems>
  <dataFields count="1">
    <dataField name="Average Selling Price" fld="11" subtotal="average" baseField="0" baseItem="0" numFmtId="1"/>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67E796-0C84-4396-95F5-78F3951A58A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V1:W9" firstHeaderRow="1" firstDataRow="1" firstDataCol="1"/>
  <pivotFields count="21">
    <pivotField showAll="0"/>
    <pivotField showAll="0">
      <items count="3">
        <item x="0"/>
        <item h="1" x="1"/>
        <item t="default"/>
      </items>
    </pivotField>
    <pivotField showAll="0"/>
    <pivotField axis="axisRow" showAll="0" sortType="descending">
      <items count="14">
        <item m="1" x="12"/>
        <item x="2"/>
        <item x="4"/>
        <item x="6"/>
        <item x="10"/>
        <item m="1" x="11"/>
        <item x="5"/>
        <item x="7"/>
        <item x="9"/>
        <item x="0"/>
        <item x="3"/>
        <item x="1"/>
        <item x="8"/>
        <item t="default"/>
      </items>
    </pivotField>
    <pivotField showAll="0">
      <items count="9">
        <item x="4"/>
        <item x="3"/>
        <item x="1"/>
        <item x="5"/>
        <item x="2"/>
        <item x="7"/>
        <item x="6"/>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5">
        <item h="1" x="0"/>
        <item x="1"/>
        <item h="1" m="1" x="3"/>
        <item h="1" m="1" x="2"/>
        <item t="default"/>
      </items>
    </pivotField>
  </pivotFields>
  <rowFields count="1">
    <field x="3"/>
  </rowFields>
  <rowItems count="8">
    <i>
      <x v="1"/>
    </i>
    <i>
      <x v="6"/>
    </i>
    <i>
      <x v="7"/>
    </i>
    <i>
      <x v="8"/>
    </i>
    <i>
      <x v="9"/>
    </i>
    <i>
      <x v="10"/>
    </i>
    <i>
      <x v="11"/>
    </i>
    <i t="grand">
      <x/>
    </i>
  </rowItems>
  <colItems count="1">
    <i/>
  </colItems>
  <dataFields count="1">
    <dataField name="Sum of سعر البيع " fld="11" showDataAs="percentOfTotal" baseField="3" baseItem="0" numFmtId="10"/>
  </dataFields>
  <formats count="1">
    <format dxfId="35">
      <pivotArea collapsedLevelsAreSubtotals="1" fieldPosition="0">
        <references count="1">
          <reference field="3" count="0"/>
        </references>
      </pivotArea>
    </format>
  </formats>
  <chartFormats count="2">
    <chartFormat chart="19" format="0"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676D12-4A36-4F12-A3C3-2AD5A68630F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Y1:Z4" firstHeaderRow="1" firstDataRow="1" firstDataCol="1"/>
  <pivotFields count="21">
    <pivotField showAll="0"/>
    <pivotField showAll="0">
      <items count="3">
        <item x="0"/>
        <item h="1" x="1"/>
        <item t="default"/>
      </items>
    </pivotField>
    <pivotField showAll="0"/>
    <pivotField showAll="0">
      <items count="14">
        <item x="8"/>
        <item x="1"/>
        <item x="3"/>
        <item x="0"/>
        <item x="9"/>
        <item x="7"/>
        <item x="5"/>
        <item m="1" x="11"/>
        <item x="10"/>
        <item x="6"/>
        <item x="4"/>
        <item x="2"/>
        <item m="1" x="12"/>
        <item t="default"/>
      </items>
    </pivotField>
    <pivotField showAll="0">
      <items count="9">
        <item x="4"/>
        <item x="3"/>
        <item x="1"/>
        <item x="5"/>
        <item x="2"/>
        <item x="7"/>
        <item x="6"/>
        <item x="0"/>
        <item t="default"/>
      </items>
    </pivotField>
    <pivotField showAll="0"/>
    <pivotField showAll="0"/>
    <pivotField showAll="0"/>
    <pivotField showAll="0"/>
    <pivotField showAll="0"/>
    <pivotField showAll="0"/>
    <pivotField dataField="1"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h="1" x="0"/>
        <item x="1"/>
        <item h="1" m="1" x="3"/>
        <item h="1" m="1" x="2"/>
        <item t="default"/>
      </items>
    </pivotField>
  </pivotFields>
  <rowFields count="1">
    <field x="12"/>
  </rowFields>
  <rowItems count="3">
    <i>
      <x/>
    </i>
    <i>
      <x v="1"/>
    </i>
    <i t="grand">
      <x/>
    </i>
  </rowItems>
  <colItems count="1">
    <i/>
  </colItems>
  <dataFields count="1">
    <dataField name="Sum of سعر البيع " fld="11" showDataAs="percentOfTotal" baseField="12" baseItem="0" numFmtId="10"/>
  </dataFields>
  <formats count="5">
    <format dxfId="40">
      <pivotArea collapsedLevelsAreSubtotals="1" fieldPosition="0">
        <references count="1">
          <reference field="12" count="1">
            <x v="3"/>
          </reference>
        </references>
      </pivotArea>
    </format>
    <format dxfId="39">
      <pivotArea collapsedLevelsAreSubtotals="1" fieldPosition="0">
        <references count="1">
          <reference field="12" count="1">
            <x v="2"/>
          </reference>
        </references>
      </pivotArea>
    </format>
    <format dxfId="38">
      <pivotArea collapsedLevelsAreSubtotals="1" fieldPosition="0">
        <references count="1">
          <reference field="12" count="1">
            <x v="1"/>
          </reference>
        </references>
      </pivotArea>
    </format>
    <format dxfId="37">
      <pivotArea collapsedLevelsAreSubtotals="1" fieldPosition="0">
        <references count="1">
          <reference field="12" count="1">
            <x v="0"/>
          </reference>
        </references>
      </pivotArea>
    </format>
    <format dxfId="36">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34DBA0-F88D-4D48-93D7-ABE55AD8BB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H2" firstHeaderRow="1" firstDataRow="1" firstDataCol="0"/>
  <pivotFields count="21">
    <pivotField showAll="0"/>
    <pivotField showAll="0">
      <items count="3">
        <item x="0"/>
        <item h="1" x="1"/>
        <item t="default"/>
      </items>
    </pivotField>
    <pivotField showAll="0"/>
    <pivotField showAll="0">
      <items count="14">
        <item x="8"/>
        <item x="1"/>
        <item x="3"/>
        <item x="0"/>
        <item x="9"/>
        <item x="7"/>
        <item x="5"/>
        <item m="1" x="11"/>
        <item x="10"/>
        <item x="6"/>
        <item x="4"/>
        <item x="2"/>
        <item m="1" x="12"/>
        <item t="default"/>
      </items>
    </pivotField>
    <pivotField showAll="0">
      <items count="9">
        <item x="4"/>
        <item x="3"/>
        <item x="1"/>
        <item x="5"/>
        <item x="2"/>
        <item x="7"/>
        <item x="6"/>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0"/>
        <item x="1"/>
        <item h="1" m="1" x="3"/>
        <item h="1" m="1" x="2"/>
        <item t="default"/>
      </items>
    </pivotField>
  </pivotFields>
  <rowItems count="1">
    <i/>
  </rowItems>
  <colItems count="1">
    <i/>
  </colItems>
  <dataFields count="1">
    <dataField name="Total Order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DE6DF6-A4EA-4D4A-819B-9771828C0E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J1:K4" firstHeaderRow="1" firstDataRow="1" firstDataCol="1"/>
  <pivotFields count="21">
    <pivotField showAll="0"/>
    <pivotField showAll="0">
      <items count="3">
        <item x="0"/>
        <item h="1" x="1"/>
        <item t="default"/>
      </items>
    </pivotField>
    <pivotField showAll="0"/>
    <pivotField showAll="0">
      <items count="14">
        <item x="8"/>
        <item x="1"/>
        <item x="3"/>
        <item x="0"/>
        <item x="9"/>
        <item x="7"/>
        <item x="5"/>
        <item m="1" x="11"/>
        <item x="10"/>
        <item x="6"/>
        <item x="4"/>
        <item x="2"/>
        <item m="1" x="12"/>
        <item t="default"/>
      </items>
    </pivotField>
    <pivotField axis="axisRow" showAll="0" sortType="descending">
      <items count="9">
        <item x="4"/>
        <item x="3"/>
        <item x="1"/>
        <item x="5"/>
        <item x="2"/>
        <item x="7"/>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5">
        <item h="1" x="0"/>
        <item x="1"/>
        <item h="1" m="1" x="3"/>
        <item h="1" m="1" x="2"/>
        <item t="default"/>
      </items>
    </pivotField>
  </pivotFields>
  <rowFields count="1">
    <field x="4"/>
  </rowFields>
  <rowItems count="3">
    <i>
      <x v="7"/>
    </i>
    <i>
      <x v="4"/>
    </i>
    <i t="grand">
      <x/>
    </i>
  </rowItems>
  <colItems count="1">
    <i/>
  </colItems>
  <dataFields count="1">
    <dataField name="Sum of سعر البيع " fld="11" showDataAs="percentOfTotal" baseField="4" baseItem="0" numFmtId="10"/>
  </dataFields>
  <formats count="1">
    <format dxfId="41">
      <pivotArea collapsedLevelsAreSubtotals="1" fieldPosition="0">
        <references count="1">
          <reference field="4" count="0"/>
        </references>
      </pivotArea>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1418DF-6206-41D2-877C-DCD2E792AC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1:N5" firstHeaderRow="1" firstDataRow="1" firstDataCol="1"/>
  <pivotFields count="21">
    <pivotField showAll="0"/>
    <pivotField showAll="0">
      <items count="3">
        <item x="0"/>
        <item h="1" x="1"/>
        <item t="default"/>
      </items>
    </pivotField>
    <pivotField showAll="0"/>
    <pivotField showAll="0">
      <items count="14">
        <item x="8"/>
        <item x="1"/>
        <item x="3"/>
        <item x="0"/>
        <item x="9"/>
        <item x="7"/>
        <item x="5"/>
        <item m="1" x="11"/>
        <item x="10"/>
        <item x="6"/>
        <item x="4"/>
        <item x="2"/>
        <item m="1" x="12"/>
        <item t="default"/>
      </items>
    </pivotField>
    <pivotField showAll="0">
      <items count="9">
        <item x="4"/>
        <item x="3"/>
        <item x="1"/>
        <item x="5"/>
        <item x="2"/>
        <item x="7"/>
        <item x="6"/>
        <item x="0"/>
        <item t="default"/>
      </items>
    </pivotField>
    <pivotField axis="axisRow" showAll="0" sortType="descending">
      <items count="7">
        <item sd="0" x="1"/>
        <item sd="0" x="3"/>
        <item sd="0" x="0"/>
        <item sd="0" x="5"/>
        <item sd="0" x="4"/>
        <item sd="0" x="2"/>
        <item t="default"/>
      </items>
      <autoSortScope>
        <pivotArea dataOnly="0" outline="0" fieldPosition="0">
          <references count="1">
            <reference field="4294967294" count="1" selected="0">
              <x v="0"/>
            </reference>
          </references>
        </pivotArea>
      </autoSortScope>
    </pivotField>
    <pivotField dataField="1" showAll="0"/>
    <pivotField showAll="0"/>
    <pivotField axis="axisRow" showAll="0">
      <items count="8">
        <item x="0"/>
        <item x="4"/>
        <item x="1"/>
        <item x="2"/>
        <item x="3"/>
        <item x="5"/>
        <item x="6"/>
        <item t="default"/>
      </items>
    </pivotField>
    <pivotField axis="axisRow" showAll="0">
      <items count="13">
        <item x="0"/>
        <item x="2"/>
        <item x="1"/>
        <item x="7"/>
        <item x="11"/>
        <item x="6"/>
        <item x="10"/>
        <item x="5"/>
        <item x="4"/>
        <item x="3"/>
        <item x="9"/>
        <item x="8"/>
        <item t="default"/>
      </items>
    </pivotField>
    <pivotField showAll="0"/>
    <pivotField showAll="0"/>
    <pivotField showAll="0"/>
    <pivotField showAll="0"/>
    <pivotField showAll="0"/>
    <pivotField showAll="0"/>
    <pivotField showAll="0"/>
    <pivotField showAll="0"/>
    <pivotField showAll="0"/>
    <pivotField showAll="0"/>
    <pivotField showAll="0">
      <items count="5">
        <item h="1" x="0"/>
        <item x="1"/>
        <item h="1" m="1" x="3"/>
        <item h="1" m="1" x="2"/>
        <item t="default"/>
      </items>
    </pivotField>
  </pivotFields>
  <rowFields count="3">
    <field x="5"/>
    <field x="9"/>
    <field x="8"/>
  </rowFields>
  <rowItems count="4">
    <i>
      <x v="2"/>
    </i>
    <i>
      <x/>
    </i>
    <i>
      <x v="5"/>
    </i>
    <i t="grand">
      <x/>
    </i>
  </rowItems>
  <colItems count="1">
    <i/>
  </colItems>
  <dataFields count="1">
    <dataField name="Count of نوع الصنف" fld="6" subtotal="count" baseField="5" baseItem="0"/>
  </dataFields>
  <formats count="2">
    <format dxfId="43">
      <pivotArea grandRow="1" outline="0" collapsedLevelsAreSubtotals="1" fieldPosition="0"/>
    </format>
    <format dxfId="42">
      <pivotArea collapsedLevelsAreSubtotals="1" fieldPosition="0">
        <references count="1">
          <reference field="5" count="1">
            <x v="2"/>
          </reference>
        </references>
      </pivotArea>
    </format>
  </format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709728-F074-4760-BE87-868C7E68AF9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AD18" firstHeaderRow="1" firstDataRow="1" firstDataCol="0"/>
  <pivotFields count="21">
    <pivotField showAll="0"/>
    <pivotField showAll="0">
      <items count="3">
        <item x="0"/>
        <item h="1" x="1"/>
        <item t="default"/>
      </items>
    </pivotField>
    <pivotField showAll="0"/>
    <pivotField showAll="0">
      <items count="14">
        <item x="8"/>
        <item x="1"/>
        <item x="3"/>
        <item x="0"/>
        <item x="9"/>
        <item x="7"/>
        <item x="5"/>
        <item m="1" x="11"/>
        <item x="10"/>
        <item x="6"/>
        <item x="4"/>
        <item x="2"/>
        <item m="1" x="12"/>
        <item t="default"/>
      </items>
    </pivotField>
    <pivotField showAll="0">
      <items count="9">
        <item x="4"/>
        <item x="3"/>
        <item x="1"/>
        <item x="5"/>
        <item x="2"/>
        <item x="7"/>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0"/>
        <item x="1"/>
        <item h="1" m="1" x="3"/>
        <item h="1" m="1" x="2"/>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11936B55-1A92-4976-8F39-DB7B5F3F481E}" autoFormatId="16" applyNumberFormats="0" applyBorderFormats="0" applyFontFormats="0" applyPatternFormats="0" applyAlignmentFormats="0" applyWidthHeightFormats="0">
  <queryTableRefresh nextId="7">
    <queryTableFields count="6">
      <queryTableField id="1" name="المنتج" tableColumnId="1"/>
      <queryTableField id="2" name="الصنف" tableColumnId="2"/>
      <queryTableField id="3" name="نوع الصنف" tableColumnId="3"/>
      <queryTableField id="4" name="الاسم" tableColumnId="4"/>
      <queryTableField id="5" name="المقاس" tableColumnId="5"/>
      <queryTableField id="6" name="اللون"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عميل" xr10:uid="{09A66FA5-F486-4AA2-B589-D3E938B33C1D}" sourceName="نوع العميل ">
  <pivotTables>
    <pivotTable tabId="17" name="PivotTable11"/>
    <pivotTable tabId="17" name="PivotTable1"/>
    <pivotTable tabId="17" name="PivotTable10"/>
    <pivotTable tabId="17" name="PivotTable4"/>
    <pivotTable tabId="17" name="PivotTable5"/>
    <pivotTable tabId="17" name="PivotTable7"/>
    <pivotTable tabId="17" name="PivotTable8"/>
    <pivotTable tabId="17" name="PivotTable9"/>
    <pivotTable tabId="17" name="PivotTable2"/>
    <pivotTable tabId="17" name="PivotTable3"/>
  </pivotTables>
  <data>
    <tabular pivotCacheId="174888989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 xr10:uid="{315568DC-63CA-42F8-90D5-5E67B03985D6}" sourceName="الحالة">
  <pivotTables>
    <pivotTable tabId="17" name="PivotTable11"/>
    <pivotTable tabId="17" name="PivotTable1"/>
    <pivotTable tabId="17" name="PivotTable10"/>
    <pivotTable tabId="17" name="PivotTable2"/>
    <pivotTable tabId="17" name="PivotTable3"/>
    <pivotTable tabId="17" name="PivotTable4"/>
    <pivotTable tabId="17" name="PivotTable5"/>
    <pivotTable tabId="17" name="PivotTable7"/>
    <pivotTable tabId="17" name="PivotTable8"/>
    <pivotTable tabId="17" name="PivotTable9"/>
  </pivotTables>
  <data>
    <tabular pivotCacheId="1748889892">
      <items count="4">
        <i x="0"/>
        <i x="1" s="1"/>
        <i x="3" nd="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80EAC876-0154-4737-AF7B-57BFB0CA2B06}" sourceName="منصة البيع ">
  <pivotTables>
    <pivotTable tabId="17" name="PivotTable11"/>
    <pivotTable tabId="17" name="PivotTable1"/>
    <pivotTable tabId="17" name="PivotTable10"/>
    <pivotTable tabId="17" name="PivotTable2"/>
    <pivotTable tabId="17" name="PivotTable3"/>
    <pivotTable tabId="17" name="PivotTable4"/>
    <pivotTable tabId="17" name="PivotTable5"/>
    <pivotTable tabId="17" name="PivotTable7"/>
    <pivotTable tabId="17" name="PivotTable8"/>
    <pivotTable tabId="17" name="PivotTable9"/>
  </pivotTables>
  <data>
    <tabular pivotCacheId="1748889892">
      <items count="8">
        <i x="2" s="1"/>
        <i x="0" s="1"/>
        <i x="4" s="1" nd="1"/>
        <i x="3" s="1" nd="1"/>
        <i x="1" s="1" nd="1"/>
        <i x="5" s="1" nd="1"/>
        <i x="7" s="1" nd="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E88B036B-6C41-42AA-9405-5AE9E5E4562A}" sourceName="المحافظة">
  <pivotTables>
    <pivotTable tabId="17" name="PivotTable11"/>
    <pivotTable tabId="17" name="PivotTable1"/>
    <pivotTable tabId="17" name="PivotTable10"/>
    <pivotTable tabId="17" name="PivotTable2"/>
    <pivotTable tabId="17" name="PivotTable3"/>
    <pivotTable tabId="17" name="PivotTable4"/>
    <pivotTable tabId="17" name="PivotTable5"/>
    <pivotTable tabId="17" name="PivotTable7"/>
    <pivotTable tabId="17" name="PivotTable8"/>
    <pivotTable tabId="17" name="PivotTable9"/>
  </pivotTables>
  <data>
    <tabular pivotCacheId="1748889892">
      <items count="13">
        <i x="1" s="1"/>
        <i x="3" s="1"/>
        <i x="0" s="1"/>
        <i x="9" s="1"/>
        <i x="7" s="1"/>
        <i x="5" s="1"/>
        <i x="2" s="1"/>
        <i x="8" s="1" nd="1"/>
        <i x="11" s="1" nd="1"/>
        <i x="10" s="1" nd="1"/>
        <i x="6" s="1" nd="1"/>
        <i x="4" s="1" nd="1"/>
        <i x="1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نوع العميل " xr10:uid="{AA5C7069-B374-47B4-87D6-1590FA8C9E52}" cache="Slicer_نوع_العميل" caption="نوع العميل " rowHeight="234950"/>
  <slicer name="الحالة" xr10:uid="{DC8F5130-731F-410F-AD93-29654A31E5AF}" cache="Slicer_الحالة" caption="الحالة" rowHeight="234950"/>
  <slicer name="منصة البيع " xr10:uid="{86F41E28-6469-421E-924B-30AE39C6E789}" cache="Slicer_منصة_البيع" caption="منصة البيع " rowHeight="234950"/>
  <slicer name="المحافظة" xr10:uid="{8865E23E-C72A-4F38-A1FD-CB54FD5E1A5A}" cache="Slicer_المحافظة" caption="المحافظة"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نوع العميل  1" xr10:uid="{2F721724-F2B4-4F5C-B842-9340FAD51B5A}" cache="Slicer_نوع_العميل" caption="نوع العميل " columnCount="2" style="Slicer Style 5" rowHeight="234950"/>
  <slicer name="الحالة 1" xr10:uid="{42EBD3E7-A320-4E7A-9A9D-595889A8A2DC}" cache="Slicer_الحالة" caption="الحالة" columnCount="2" style="Slicer Style 5" rowHeight="234950"/>
  <slicer name="المحافظة 1" xr10:uid="{5075598C-995C-4F4D-8134-7C3E993A2C60}" cache="Slicer_المحافظة" caption="المحافظة" columnCount="2" style="Slicer Style 5"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ED015B-11C3-464F-B4FE-482992A97E0F}" name="Table1_1" displayName="Table1_1" ref="A1:F127" tableType="queryTable" totalsRowShown="0">
  <autoFilter ref="A1:F127" xr:uid="{2CED015B-11C3-464F-B4FE-482992A97E0F}"/>
  <tableColumns count="6">
    <tableColumn id="1" xr3:uid="{0A472032-0CC5-41B7-BDEE-656E87D9F8CF}" uniqueName="1" name="المنتج" queryTableFieldId="1" dataDxfId="52"/>
    <tableColumn id="2" xr3:uid="{2F959721-98F4-4781-9F49-E2C1824FF717}" uniqueName="2" name="الصنف" queryTableFieldId="2"/>
    <tableColumn id="3" xr3:uid="{A6B93F94-1611-4EEF-A85E-8EB3CD08087D}" uniqueName="3" name="نوع الصنف" queryTableFieldId="3"/>
    <tableColumn id="4" xr3:uid="{149A41E0-DFC4-43E2-95AB-44174CA0782B}" uniqueName="4" name="الاسم" queryTableFieldId="4"/>
    <tableColumn id="5" xr3:uid="{29C1ADA3-C748-4C57-9E41-5ACDE942486E}" uniqueName="5" name="المقاس" queryTableFieldId="5"/>
    <tableColumn id="6" xr3:uid="{1E0B822E-553C-4407-B7E9-8E63EA1C0A6E}" uniqueName="6" name="اللون" queryTableField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580441-B04C-4314-98DD-6319F313CF70}" name="Table1" displayName="Table1" ref="A1:U113" totalsRowShown="0">
  <autoFilter ref="A1:U113" xr:uid="{B3580441-B04C-4314-98DD-6319F313CF70}"/>
  <tableColumns count="21">
    <tableColumn id="4" xr3:uid="{7E62F6CB-FBC1-4117-8CCB-E5FD448CECEF}" name="أسم العميل"/>
    <tableColumn id="25" xr3:uid="{1E9B61BE-73F3-4588-BB0C-8675248CEE36}" name="نوع العميل " dataDxfId="51">
      <calculatedColumnFormula>IF(OR(Table1[[#This Row],[أسم العميل]]="تاكى ",Table1[[#This Row],[أسم العميل]]="تاكى", Table1[[#This Row],[أسم العميل]]="شيك هومز",Table1[[#This Row],[أسم العميل]]="شيك هومز ", Table1[[#This Row],[أسم العميل]]="اوسكار راتن"), "شركات", "افراد")</calculatedColumnFormula>
    </tableColumn>
    <tableColumn id="5" xr3:uid="{99741732-7287-4AC6-BBE1-B133E75E29A3}" name="العنوان"/>
    <tableColumn id="27" xr3:uid="{E54AA46B-CD48-4608-8941-68B26C1A9C6A}" name="المحافظة" dataDxfId="50"/>
    <tableColumn id="7" xr3:uid="{9E17BEA1-B559-41F2-BB0D-B0B2DF8EE508}" name="منصة البيع "/>
    <tableColumn id="8" xr3:uid="{0E8663A0-A52B-4457-89D5-B69A5FB07DB3}" name="الصنف"/>
    <tableColumn id="9" xr3:uid="{9716C469-8379-44E7-8437-956A2CB6C26E}" name="نوع الصنف"/>
    <tableColumn id="10" xr3:uid="{65CCFC54-9A6C-42DD-A2A9-2B5441AADF10}" name="الاسم "/>
    <tableColumn id="11" xr3:uid="{7712E128-D88C-47A3-88AF-5E74CC7BD26B}" name="المقاس"/>
    <tableColumn id="12" xr3:uid="{58FD45F6-1CA4-4602-A7AA-ED7C4AD908A0}" name="اللون "/>
    <tableColumn id="14" xr3:uid="{03F0C859-5275-47B6-8046-D7B048BE0063}" name="المنتج"/>
    <tableColumn id="15" xr3:uid="{F640B2D3-FE77-44ED-96A7-1FD615AD38A5}" name="سعر البيع "/>
    <tableColumn id="16" xr3:uid="{D7DCB91F-F076-4CB3-B3C5-31A2C666B5CC}" name="طريقه الدفع "/>
    <tableColumn id="24" xr3:uid="{460B4178-17DC-4890-A486-948A5510077E}" name="مدة التسليم (الهدف)" dataDxfId="49">
      <calculatedColumnFormula>IF(OR(ISBLANK(Table1[[#This Row],[ميعاد الطلب]]), ISBLANK(Table1[[#This Row],[ميعاد التسليم]])), 0, Table1[[#This Row],[ميعاد التسليم]] - Table1[[#This Row],[ميعاد الطلب]])</calculatedColumnFormula>
    </tableColumn>
    <tableColumn id="23" xr3:uid="{CE76E06D-8508-4967-BE8F-14C268B8A455}" name="مدة التسليم (الفعلي)" dataDxfId="48">
      <calculatedColumnFormula>IF(OR(ISBLANK(Table1[[#This Row],[ميعاد الطلب]]), ISBLANK(Table1[[#This Row],[تاريخ التسليم]])), 0, Table1[[#This Row],[تاريخ التسليم]] - Table1[[#This Row],[ميعاد الطلب]])</calculatedColumnFormula>
    </tableColumn>
    <tableColumn id="1" xr3:uid="{EE3B4022-A2FE-4BC9-AC96-FD51DEF49A7F}" name=" في الموعد " dataDxfId="47">
      <calculatedColumnFormula>IF(Table1[[#This Row],[مدة التسليم (الهدف)]] &lt;=Table1[[#This Row],[مدة التسليم (الفعلي)]], 0,1)</calculatedColumnFormula>
    </tableColumn>
    <tableColumn id="17" xr3:uid="{F993CFA6-3166-4D3F-9666-B4E73F63EB3A}" name="ميعاد الطلب" dataDxfId="46"/>
    <tableColumn id="18" xr3:uid="{01003DAF-834A-4C02-A911-82B302D09DEF}" name="ميعاد التسليم" dataDxfId="45"/>
    <tableColumn id="19" xr3:uid="{2C7B6C2D-2302-401D-8C27-22D8B364C493}" name="تاريخ التسليم" dataDxfId="44"/>
    <tableColumn id="20" xr3:uid="{5E6EF44C-BA75-4326-8E69-39888E1BB415}" name="المسئول عن التسليم"/>
    <tableColumn id="21" xr3:uid="{4D5AC078-BCDF-41EF-BC9A-0B2692C1C2EE}" name="الحالة"/>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AF8F644-64A9-4434-BBAD-A10C68CEAEC6}">
  <we:reference id="4b95c8b8-79b6-483e-91ba-14a1beff78ad" version="1.0.0.0" store="EXCatalog" storeType="EXCatalog"/>
  <we:alternateReferences>
    <we:reference id="WA200001841" version="1.0.0.0" store="en-US"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dimension ref="A1:B14"/>
  <sheetViews>
    <sheetView showGridLines="0" rightToLeft="1" workbookViewId="0">
      <selection activeCell="A10" sqref="A10"/>
    </sheetView>
  </sheetViews>
  <sheetFormatPr defaultRowHeight="14.4" x14ac:dyDescent="0.3"/>
  <cols>
    <col min="2" max="2" width="41.88671875" customWidth="1"/>
  </cols>
  <sheetData>
    <row r="1" spans="1:2" x14ac:dyDescent="0.3">
      <c r="A1" s="10"/>
      <c r="B1" s="10"/>
    </row>
    <row r="2" spans="1:2" x14ac:dyDescent="0.3">
      <c r="A2" s="10"/>
      <c r="B2" s="10"/>
    </row>
    <row r="3" spans="1:2" s="8" customFormat="1" ht="24.6" x14ac:dyDescent="0.4">
      <c r="A3" s="8" t="s">
        <v>258</v>
      </c>
    </row>
    <row r="4" spans="1:2" s="9" customFormat="1" ht="18" x14ac:dyDescent="0.35">
      <c r="A4" s="12" t="s">
        <v>248</v>
      </c>
      <c r="B4" s="12"/>
    </row>
    <row r="5" spans="1:2" s="5" customFormat="1" x14ac:dyDescent="0.3">
      <c r="A5" s="13"/>
      <c r="B5" s="13"/>
    </row>
    <row r="6" spans="1:2" s="7" customFormat="1" ht="17.399999999999999" x14ac:dyDescent="0.3">
      <c r="A6" s="7" t="s">
        <v>257</v>
      </c>
    </row>
    <row r="7" spans="1:2" s="6" customFormat="1" ht="15.6" x14ac:dyDescent="0.3">
      <c r="A7" s="14" t="s">
        <v>249</v>
      </c>
      <c r="B7" s="11"/>
    </row>
    <row r="8" spans="1:2" s="6" customFormat="1" ht="15.6" x14ac:dyDescent="0.3">
      <c r="A8" s="11" t="s">
        <v>250</v>
      </c>
      <c r="B8" s="11"/>
    </row>
    <row r="9" spans="1:2" s="6" customFormat="1" ht="15.6" x14ac:dyDescent="0.3">
      <c r="A9" s="11" t="s">
        <v>251</v>
      </c>
      <c r="B9" s="11"/>
    </row>
    <row r="10" spans="1:2" s="6" customFormat="1" ht="15.6" x14ac:dyDescent="0.3">
      <c r="A10" s="11" t="s">
        <v>252</v>
      </c>
      <c r="B10" s="11"/>
    </row>
    <row r="11" spans="1:2" s="6" customFormat="1" ht="15.6" x14ac:dyDescent="0.3">
      <c r="A11" s="11" t="s">
        <v>253</v>
      </c>
      <c r="B11" s="11"/>
    </row>
    <row r="12" spans="1:2" s="6" customFormat="1" ht="15.6" x14ac:dyDescent="0.3">
      <c r="A12" s="11" t="s">
        <v>254</v>
      </c>
      <c r="B12" s="11"/>
    </row>
    <row r="13" spans="1:2" s="6" customFormat="1" ht="15.6" x14ac:dyDescent="0.3">
      <c r="A13" s="11" t="s">
        <v>255</v>
      </c>
      <c r="B13" s="11"/>
    </row>
    <row r="14" spans="1:2" s="6" customFormat="1" ht="15.6" x14ac:dyDescent="0.3">
      <c r="A14" s="11" t="s">
        <v>256</v>
      </c>
      <c r="B14"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13663-237D-4A62-8B5F-06EC8ED9248A}">
  <dimension ref="A1:F65"/>
  <sheetViews>
    <sheetView topLeftCell="A43" workbookViewId="0">
      <selection activeCell="F2" sqref="F2:F65"/>
    </sheetView>
  </sheetViews>
  <sheetFormatPr defaultRowHeight="14.4" x14ac:dyDescent="0.3"/>
  <cols>
    <col min="1" max="1" width="34.44140625" bestFit="1" customWidth="1"/>
    <col min="2" max="2" width="8.44140625" bestFit="1" customWidth="1"/>
    <col min="3" max="3" width="8.6640625" bestFit="1" customWidth="1"/>
    <col min="4" max="4" width="8.44140625" bestFit="1" customWidth="1"/>
    <col min="5" max="5" width="5.88671875" bestFit="1" customWidth="1"/>
    <col min="6" max="6" width="8.44140625" bestFit="1" customWidth="1"/>
  </cols>
  <sheetData>
    <row r="1" spans="1:6" x14ac:dyDescent="0.3">
      <c r="A1" t="s">
        <v>2</v>
      </c>
      <c r="B1" t="s">
        <v>259</v>
      </c>
      <c r="C1" t="s">
        <v>260</v>
      </c>
      <c r="D1" t="s">
        <v>163</v>
      </c>
      <c r="E1" t="s">
        <v>164</v>
      </c>
      <c r="F1" t="s">
        <v>275</v>
      </c>
    </row>
    <row r="2" spans="1:6" x14ac:dyDescent="0.3">
      <c r="A2" t="s">
        <v>13</v>
      </c>
      <c r="B2" t="s">
        <v>143</v>
      </c>
      <c r="C2" t="s">
        <v>144</v>
      </c>
      <c r="D2" t="s">
        <v>266</v>
      </c>
      <c r="E2" t="s">
        <v>276</v>
      </c>
      <c r="F2" t="s">
        <v>156</v>
      </c>
    </row>
    <row r="3" spans="1:6" x14ac:dyDescent="0.3">
      <c r="A3" t="s">
        <v>17</v>
      </c>
      <c r="B3" t="s">
        <v>143</v>
      </c>
      <c r="C3" t="s">
        <v>144</v>
      </c>
      <c r="D3" t="s">
        <v>266</v>
      </c>
      <c r="E3" t="s">
        <v>276</v>
      </c>
      <c r="F3" t="s">
        <v>157</v>
      </c>
    </row>
    <row r="4" spans="1:6" x14ac:dyDescent="0.3">
      <c r="A4" t="s">
        <v>20</v>
      </c>
      <c r="B4" t="s">
        <v>143</v>
      </c>
      <c r="C4" t="s">
        <v>266</v>
      </c>
      <c r="D4" t="s">
        <v>266</v>
      </c>
      <c r="E4" t="s">
        <v>277</v>
      </c>
      <c r="F4" t="s">
        <v>159</v>
      </c>
    </row>
    <row r="5" spans="1:6" x14ac:dyDescent="0.3">
      <c r="A5" t="s">
        <v>23</v>
      </c>
      <c r="B5" t="s">
        <v>278</v>
      </c>
      <c r="C5" t="s">
        <v>266</v>
      </c>
      <c r="D5" t="s">
        <v>266</v>
      </c>
      <c r="E5" t="s">
        <v>276</v>
      </c>
      <c r="F5" t="s">
        <v>266</v>
      </c>
    </row>
    <row r="6" spans="1:6" x14ac:dyDescent="0.3">
      <c r="A6" t="s">
        <v>26</v>
      </c>
      <c r="B6" t="s">
        <v>143</v>
      </c>
      <c r="C6" t="s">
        <v>266</v>
      </c>
      <c r="D6" t="s">
        <v>145</v>
      </c>
      <c r="E6" t="s">
        <v>276</v>
      </c>
      <c r="F6" t="s">
        <v>266</v>
      </c>
    </row>
    <row r="7" spans="1:6" x14ac:dyDescent="0.3">
      <c r="A7" t="s">
        <v>28</v>
      </c>
      <c r="B7" t="s">
        <v>143</v>
      </c>
      <c r="C7" t="s">
        <v>266</v>
      </c>
      <c r="D7" t="s">
        <v>266</v>
      </c>
      <c r="E7" t="s">
        <v>276</v>
      </c>
      <c r="F7" t="s">
        <v>266</v>
      </c>
    </row>
    <row r="8" spans="1:6" x14ac:dyDescent="0.3">
      <c r="A8" t="s">
        <v>28</v>
      </c>
      <c r="B8" t="s">
        <v>143</v>
      </c>
      <c r="C8" t="s">
        <v>266</v>
      </c>
      <c r="D8" t="s">
        <v>266</v>
      </c>
      <c r="E8" t="s">
        <v>276</v>
      </c>
      <c r="F8" t="s">
        <v>266</v>
      </c>
    </row>
    <row r="9" spans="1:6" x14ac:dyDescent="0.3">
      <c r="A9" t="s">
        <v>36</v>
      </c>
      <c r="B9" t="s">
        <v>143</v>
      </c>
      <c r="C9" t="s">
        <v>266</v>
      </c>
      <c r="D9" t="s">
        <v>266</v>
      </c>
      <c r="E9" t="s">
        <v>276</v>
      </c>
      <c r="F9" t="s">
        <v>156</v>
      </c>
    </row>
    <row r="10" spans="1:6" x14ac:dyDescent="0.3">
      <c r="A10" t="s">
        <v>40</v>
      </c>
      <c r="B10" t="s">
        <v>266</v>
      </c>
      <c r="C10" t="s">
        <v>266</v>
      </c>
      <c r="D10" t="s">
        <v>266</v>
      </c>
      <c r="E10" t="s">
        <v>276</v>
      </c>
      <c r="F10" t="s">
        <v>266</v>
      </c>
    </row>
    <row r="11" spans="1:6" x14ac:dyDescent="0.3">
      <c r="A11" t="s">
        <v>41</v>
      </c>
      <c r="B11" t="s">
        <v>279</v>
      </c>
      <c r="C11" t="s">
        <v>280</v>
      </c>
      <c r="D11" t="s">
        <v>266</v>
      </c>
      <c r="E11" t="s">
        <v>276</v>
      </c>
      <c r="F11" t="s">
        <v>266</v>
      </c>
    </row>
    <row r="12" spans="1:6" x14ac:dyDescent="0.3">
      <c r="A12" t="s">
        <v>43</v>
      </c>
      <c r="B12" t="s">
        <v>279</v>
      </c>
      <c r="C12" t="s">
        <v>280</v>
      </c>
      <c r="D12" t="s">
        <v>266</v>
      </c>
      <c r="E12" t="s">
        <v>276</v>
      </c>
      <c r="F12" t="s">
        <v>266</v>
      </c>
    </row>
    <row r="13" spans="1:6" x14ac:dyDescent="0.3">
      <c r="A13" t="s">
        <v>43</v>
      </c>
      <c r="B13" t="s">
        <v>279</v>
      </c>
      <c r="C13" t="s">
        <v>280</v>
      </c>
      <c r="D13" t="s">
        <v>266</v>
      </c>
      <c r="E13" t="s">
        <v>276</v>
      </c>
      <c r="F13" t="s">
        <v>266</v>
      </c>
    </row>
    <row r="14" spans="1:6" x14ac:dyDescent="0.3">
      <c r="A14" t="s">
        <v>46</v>
      </c>
      <c r="B14" t="s">
        <v>143</v>
      </c>
      <c r="C14" t="s">
        <v>266</v>
      </c>
      <c r="D14" t="s">
        <v>145</v>
      </c>
      <c r="E14" t="s">
        <v>281</v>
      </c>
      <c r="F14" t="s">
        <v>156</v>
      </c>
    </row>
    <row r="15" spans="1:6" x14ac:dyDescent="0.3">
      <c r="A15" t="s">
        <v>62</v>
      </c>
      <c r="B15" t="s">
        <v>143</v>
      </c>
      <c r="C15" t="s">
        <v>266</v>
      </c>
      <c r="D15" t="s">
        <v>266</v>
      </c>
      <c r="E15" t="s">
        <v>281</v>
      </c>
      <c r="F15" t="s">
        <v>156</v>
      </c>
    </row>
    <row r="16" spans="1:6" x14ac:dyDescent="0.3">
      <c r="A16" t="s">
        <v>59</v>
      </c>
      <c r="B16" t="s">
        <v>278</v>
      </c>
      <c r="C16" t="s">
        <v>266</v>
      </c>
      <c r="D16" t="s">
        <v>266</v>
      </c>
      <c r="E16" t="s">
        <v>276</v>
      </c>
      <c r="F16" t="s">
        <v>266</v>
      </c>
    </row>
    <row r="17" spans="1:6" x14ac:dyDescent="0.3">
      <c r="A17" t="s">
        <v>53</v>
      </c>
      <c r="B17" t="s">
        <v>143</v>
      </c>
      <c r="C17" t="s">
        <v>266</v>
      </c>
      <c r="D17" t="s">
        <v>147</v>
      </c>
      <c r="E17" t="s">
        <v>282</v>
      </c>
      <c r="F17" t="s">
        <v>157</v>
      </c>
    </row>
    <row r="18" spans="1:6" x14ac:dyDescent="0.3">
      <c r="A18" t="s">
        <v>53</v>
      </c>
      <c r="B18" t="s">
        <v>143</v>
      </c>
      <c r="C18" t="s">
        <v>266</v>
      </c>
      <c r="D18" t="s">
        <v>147</v>
      </c>
      <c r="E18" t="s">
        <v>282</v>
      </c>
      <c r="F18" t="s">
        <v>157</v>
      </c>
    </row>
    <row r="19" spans="1:6" x14ac:dyDescent="0.3">
      <c r="A19" t="s">
        <v>56</v>
      </c>
      <c r="B19" t="s">
        <v>143</v>
      </c>
      <c r="C19" t="s">
        <v>266</v>
      </c>
      <c r="D19" t="s">
        <v>146</v>
      </c>
      <c r="E19" t="s">
        <v>281</v>
      </c>
      <c r="F19" t="s">
        <v>156</v>
      </c>
    </row>
    <row r="20" spans="1:6" x14ac:dyDescent="0.3">
      <c r="A20" t="s">
        <v>64</v>
      </c>
      <c r="B20" t="s">
        <v>143</v>
      </c>
      <c r="C20" t="s">
        <v>266</v>
      </c>
      <c r="D20" t="s">
        <v>266</v>
      </c>
      <c r="E20" t="s">
        <v>281</v>
      </c>
      <c r="F20" t="s">
        <v>156</v>
      </c>
    </row>
    <row r="21" spans="1:6" x14ac:dyDescent="0.3">
      <c r="A21" t="s">
        <v>60</v>
      </c>
      <c r="B21" t="s">
        <v>266</v>
      </c>
      <c r="C21" t="s">
        <v>266</v>
      </c>
      <c r="D21" t="s">
        <v>266</v>
      </c>
      <c r="E21" t="s">
        <v>276</v>
      </c>
      <c r="F21" t="s">
        <v>266</v>
      </c>
    </row>
    <row r="22" spans="1:6" x14ac:dyDescent="0.3">
      <c r="A22" t="s">
        <v>64</v>
      </c>
      <c r="B22" t="s">
        <v>143</v>
      </c>
      <c r="C22" t="s">
        <v>266</v>
      </c>
      <c r="D22" t="s">
        <v>266</v>
      </c>
      <c r="E22" t="s">
        <v>281</v>
      </c>
      <c r="F22" t="s">
        <v>156</v>
      </c>
    </row>
    <row r="23" spans="1:6" x14ac:dyDescent="0.3">
      <c r="A23" t="s">
        <v>64</v>
      </c>
      <c r="B23" t="s">
        <v>143</v>
      </c>
      <c r="C23" t="s">
        <v>266</v>
      </c>
      <c r="D23" t="s">
        <v>266</v>
      </c>
      <c r="E23" t="s">
        <v>281</v>
      </c>
      <c r="F23" t="s">
        <v>156</v>
      </c>
    </row>
    <row r="24" spans="1:6" x14ac:dyDescent="0.3">
      <c r="A24" t="s">
        <v>64</v>
      </c>
      <c r="B24" t="s">
        <v>143</v>
      </c>
      <c r="C24" t="s">
        <v>266</v>
      </c>
      <c r="D24" t="s">
        <v>266</v>
      </c>
      <c r="E24" t="s">
        <v>281</v>
      </c>
      <c r="F24" t="s">
        <v>156</v>
      </c>
    </row>
    <row r="25" spans="1:6" x14ac:dyDescent="0.3">
      <c r="A25" t="s">
        <v>59</v>
      </c>
      <c r="B25" t="s">
        <v>278</v>
      </c>
      <c r="C25" t="s">
        <v>266</v>
      </c>
      <c r="D25" t="s">
        <v>266</v>
      </c>
      <c r="E25" t="s">
        <v>276</v>
      </c>
      <c r="F25" t="s">
        <v>266</v>
      </c>
    </row>
    <row r="26" spans="1:6" x14ac:dyDescent="0.3">
      <c r="A26" t="s">
        <v>66</v>
      </c>
      <c r="B26" t="s">
        <v>143</v>
      </c>
      <c r="C26" t="s">
        <v>148</v>
      </c>
      <c r="D26" t="s">
        <v>266</v>
      </c>
      <c r="E26" t="s">
        <v>282</v>
      </c>
      <c r="F26" t="s">
        <v>156</v>
      </c>
    </row>
    <row r="27" spans="1:6" x14ac:dyDescent="0.3">
      <c r="A27" t="s">
        <v>47</v>
      </c>
      <c r="B27" t="s">
        <v>143</v>
      </c>
      <c r="C27" t="s">
        <v>266</v>
      </c>
      <c r="D27" t="s">
        <v>146</v>
      </c>
      <c r="E27" t="s">
        <v>276</v>
      </c>
      <c r="F27" t="s">
        <v>156</v>
      </c>
    </row>
    <row r="28" spans="1:6" x14ac:dyDescent="0.3">
      <c r="A28" t="s">
        <v>49</v>
      </c>
      <c r="B28" t="s">
        <v>143</v>
      </c>
      <c r="C28" t="s">
        <v>266</v>
      </c>
      <c r="D28" t="s">
        <v>146</v>
      </c>
      <c r="E28" t="s">
        <v>276</v>
      </c>
      <c r="F28" t="s">
        <v>157</v>
      </c>
    </row>
    <row r="29" spans="1:6" x14ac:dyDescent="0.3">
      <c r="A29" t="s">
        <v>82</v>
      </c>
      <c r="B29" t="s">
        <v>143</v>
      </c>
      <c r="C29" t="s">
        <v>266</v>
      </c>
      <c r="D29" t="s">
        <v>166</v>
      </c>
      <c r="E29" t="s">
        <v>282</v>
      </c>
      <c r="F29" t="s">
        <v>156</v>
      </c>
    </row>
    <row r="30" spans="1:6" x14ac:dyDescent="0.3">
      <c r="A30" t="s">
        <v>82</v>
      </c>
      <c r="B30" t="s">
        <v>143</v>
      </c>
      <c r="C30" t="s">
        <v>266</v>
      </c>
      <c r="D30" t="s">
        <v>166</v>
      </c>
      <c r="E30" t="s">
        <v>282</v>
      </c>
      <c r="F30" t="s">
        <v>156</v>
      </c>
    </row>
    <row r="31" spans="1:6" x14ac:dyDescent="0.3">
      <c r="A31" t="s">
        <v>81</v>
      </c>
      <c r="B31" t="s">
        <v>143</v>
      </c>
      <c r="C31" t="s">
        <v>266</v>
      </c>
      <c r="D31" t="s">
        <v>266</v>
      </c>
      <c r="E31" t="s">
        <v>282</v>
      </c>
      <c r="F31" t="s">
        <v>157</v>
      </c>
    </row>
    <row r="32" spans="1:6" x14ac:dyDescent="0.3">
      <c r="A32" t="s">
        <v>81</v>
      </c>
      <c r="B32" t="s">
        <v>143</v>
      </c>
      <c r="C32" t="s">
        <v>266</v>
      </c>
      <c r="D32" t="s">
        <v>266</v>
      </c>
      <c r="E32" t="s">
        <v>282</v>
      </c>
      <c r="F32" t="s">
        <v>157</v>
      </c>
    </row>
    <row r="33" spans="1:6" x14ac:dyDescent="0.3">
      <c r="A33" t="s">
        <v>139</v>
      </c>
      <c r="B33" t="s">
        <v>143</v>
      </c>
      <c r="C33" t="s">
        <v>266</v>
      </c>
      <c r="D33" t="s">
        <v>266</v>
      </c>
      <c r="E33" t="s">
        <v>276</v>
      </c>
      <c r="F33" t="s">
        <v>157</v>
      </c>
    </row>
    <row r="34" spans="1:6" x14ac:dyDescent="0.3">
      <c r="A34" t="s">
        <v>142</v>
      </c>
      <c r="B34" t="s">
        <v>278</v>
      </c>
      <c r="C34" t="s">
        <v>266</v>
      </c>
      <c r="D34" t="s">
        <v>266</v>
      </c>
      <c r="E34" t="s">
        <v>276</v>
      </c>
      <c r="F34" t="s">
        <v>266</v>
      </c>
    </row>
    <row r="35" spans="1:6" x14ac:dyDescent="0.3">
      <c r="A35" t="s">
        <v>100</v>
      </c>
      <c r="B35" t="s">
        <v>143</v>
      </c>
      <c r="C35" t="s">
        <v>144</v>
      </c>
      <c r="D35" t="s">
        <v>266</v>
      </c>
      <c r="E35" t="s">
        <v>276</v>
      </c>
      <c r="F35" t="s">
        <v>157</v>
      </c>
    </row>
    <row r="36" spans="1:6" x14ac:dyDescent="0.3">
      <c r="A36" t="s">
        <v>59</v>
      </c>
      <c r="B36" t="s">
        <v>278</v>
      </c>
      <c r="C36" t="s">
        <v>266</v>
      </c>
      <c r="D36" t="s">
        <v>266</v>
      </c>
      <c r="E36" t="s">
        <v>276</v>
      </c>
      <c r="F36" t="s">
        <v>266</v>
      </c>
    </row>
    <row r="37" spans="1:6" x14ac:dyDescent="0.3">
      <c r="A37" t="s">
        <v>77</v>
      </c>
      <c r="B37" t="s">
        <v>143</v>
      </c>
      <c r="C37" t="s">
        <v>266</v>
      </c>
      <c r="D37" t="s">
        <v>266</v>
      </c>
      <c r="E37" t="s">
        <v>283</v>
      </c>
      <c r="F37" t="s">
        <v>157</v>
      </c>
    </row>
    <row r="38" spans="1:6" x14ac:dyDescent="0.3">
      <c r="A38" t="s">
        <v>91</v>
      </c>
      <c r="B38" t="s">
        <v>143</v>
      </c>
      <c r="C38" t="s">
        <v>148</v>
      </c>
      <c r="D38" t="s">
        <v>266</v>
      </c>
      <c r="E38" t="s">
        <v>282</v>
      </c>
      <c r="F38" t="s">
        <v>157</v>
      </c>
    </row>
    <row r="39" spans="1:6" x14ac:dyDescent="0.3">
      <c r="A39" t="s">
        <v>95</v>
      </c>
      <c r="B39" t="s">
        <v>143</v>
      </c>
      <c r="C39" t="s">
        <v>284</v>
      </c>
      <c r="D39" t="s">
        <v>266</v>
      </c>
      <c r="E39" t="s">
        <v>285</v>
      </c>
      <c r="F39" t="s">
        <v>266</v>
      </c>
    </row>
    <row r="40" spans="1:6" x14ac:dyDescent="0.3">
      <c r="A40" t="s">
        <v>136</v>
      </c>
      <c r="B40" t="s">
        <v>143</v>
      </c>
      <c r="C40" t="s">
        <v>266</v>
      </c>
      <c r="D40" t="s">
        <v>147</v>
      </c>
      <c r="E40" t="s">
        <v>282</v>
      </c>
      <c r="F40" t="s">
        <v>266</v>
      </c>
    </row>
    <row r="41" spans="1:6" x14ac:dyDescent="0.3">
      <c r="A41" t="s">
        <v>73</v>
      </c>
      <c r="B41" t="s">
        <v>143</v>
      </c>
      <c r="C41" t="s">
        <v>266</v>
      </c>
      <c r="D41" t="s">
        <v>145</v>
      </c>
      <c r="E41" t="s">
        <v>277</v>
      </c>
      <c r="F41" t="s">
        <v>157</v>
      </c>
    </row>
    <row r="42" spans="1:6" x14ac:dyDescent="0.3">
      <c r="A42" t="s">
        <v>74</v>
      </c>
      <c r="B42" t="s">
        <v>143</v>
      </c>
      <c r="C42" t="s">
        <v>266</v>
      </c>
      <c r="D42" t="s">
        <v>147</v>
      </c>
      <c r="E42" t="s">
        <v>283</v>
      </c>
      <c r="F42" t="s">
        <v>157</v>
      </c>
    </row>
    <row r="43" spans="1:6" x14ac:dyDescent="0.3">
      <c r="A43" t="s">
        <v>74</v>
      </c>
      <c r="B43" t="s">
        <v>143</v>
      </c>
      <c r="C43" t="s">
        <v>266</v>
      </c>
      <c r="D43" t="s">
        <v>147</v>
      </c>
      <c r="E43" t="s">
        <v>283</v>
      </c>
      <c r="F43" t="s">
        <v>157</v>
      </c>
    </row>
    <row r="44" spans="1:6" x14ac:dyDescent="0.3">
      <c r="A44" t="s">
        <v>86</v>
      </c>
      <c r="B44" t="s">
        <v>143</v>
      </c>
      <c r="C44" t="s">
        <v>286</v>
      </c>
      <c r="D44" t="s">
        <v>266</v>
      </c>
      <c r="E44" t="s">
        <v>281</v>
      </c>
      <c r="F44" t="s">
        <v>156</v>
      </c>
    </row>
    <row r="45" spans="1:6" x14ac:dyDescent="0.3">
      <c r="A45" t="s">
        <v>85</v>
      </c>
      <c r="B45" t="s">
        <v>143</v>
      </c>
      <c r="C45" t="s">
        <v>155</v>
      </c>
      <c r="D45" t="s">
        <v>147</v>
      </c>
      <c r="E45" t="s">
        <v>281</v>
      </c>
      <c r="F45" t="s">
        <v>156</v>
      </c>
    </row>
    <row r="46" spans="1:6" x14ac:dyDescent="0.3">
      <c r="A46" t="s">
        <v>89</v>
      </c>
      <c r="B46" t="s">
        <v>143</v>
      </c>
      <c r="C46" t="s">
        <v>266</v>
      </c>
      <c r="D46" t="s">
        <v>266</v>
      </c>
      <c r="E46" t="s">
        <v>285</v>
      </c>
      <c r="F46" t="s">
        <v>159</v>
      </c>
    </row>
    <row r="47" spans="1:6" x14ac:dyDescent="0.3">
      <c r="A47" t="s">
        <v>93</v>
      </c>
      <c r="B47" t="s">
        <v>143</v>
      </c>
      <c r="C47" t="s">
        <v>266</v>
      </c>
      <c r="D47" t="s">
        <v>146</v>
      </c>
      <c r="E47" t="s">
        <v>282</v>
      </c>
      <c r="F47" t="s">
        <v>266</v>
      </c>
    </row>
    <row r="48" spans="1:6" x14ac:dyDescent="0.3">
      <c r="A48" t="s">
        <v>98</v>
      </c>
      <c r="B48" t="s">
        <v>143</v>
      </c>
      <c r="C48" t="s">
        <v>266</v>
      </c>
      <c r="D48" t="s">
        <v>266</v>
      </c>
      <c r="E48" t="s">
        <v>276</v>
      </c>
      <c r="F48" t="s">
        <v>266</v>
      </c>
    </row>
    <row r="49" spans="1:6" x14ac:dyDescent="0.3">
      <c r="A49" t="s">
        <v>85</v>
      </c>
      <c r="B49" t="s">
        <v>143</v>
      </c>
      <c r="C49" t="s">
        <v>155</v>
      </c>
      <c r="D49" t="s">
        <v>147</v>
      </c>
      <c r="E49" t="s">
        <v>281</v>
      </c>
      <c r="F49" t="s">
        <v>156</v>
      </c>
    </row>
    <row r="50" spans="1:6" x14ac:dyDescent="0.3">
      <c r="A50" t="s">
        <v>106</v>
      </c>
      <c r="B50" t="s">
        <v>143</v>
      </c>
      <c r="C50" t="s">
        <v>286</v>
      </c>
      <c r="D50" t="s">
        <v>266</v>
      </c>
      <c r="E50" t="s">
        <v>277</v>
      </c>
      <c r="F50" t="s">
        <v>157</v>
      </c>
    </row>
    <row r="51" spans="1:6" x14ac:dyDescent="0.3">
      <c r="A51" t="s">
        <v>134</v>
      </c>
      <c r="B51" t="s">
        <v>266</v>
      </c>
      <c r="C51" t="s">
        <v>266</v>
      </c>
      <c r="D51" t="s">
        <v>266</v>
      </c>
      <c r="E51" t="s">
        <v>276</v>
      </c>
      <c r="F51" t="s">
        <v>266</v>
      </c>
    </row>
    <row r="52" spans="1:6" x14ac:dyDescent="0.3">
      <c r="A52" t="s">
        <v>23</v>
      </c>
      <c r="B52" t="s">
        <v>278</v>
      </c>
      <c r="C52" t="s">
        <v>266</v>
      </c>
      <c r="D52" t="s">
        <v>266</v>
      </c>
      <c r="E52" t="s">
        <v>276</v>
      </c>
      <c r="F52" t="s">
        <v>266</v>
      </c>
    </row>
    <row r="53" spans="1:6" x14ac:dyDescent="0.3">
      <c r="A53" t="s">
        <v>114</v>
      </c>
      <c r="B53" t="s">
        <v>143</v>
      </c>
      <c r="C53" t="s">
        <v>144</v>
      </c>
      <c r="D53" t="s">
        <v>266</v>
      </c>
      <c r="E53" t="s">
        <v>276</v>
      </c>
      <c r="F53" t="s">
        <v>157</v>
      </c>
    </row>
    <row r="54" spans="1:6" x14ac:dyDescent="0.3">
      <c r="A54" t="s">
        <v>117</v>
      </c>
      <c r="B54" t="s">
        <v>143</v>
      </c>
      <c r="C54" t="s">
        <v>148</v>
      </c>
      <c r="D54" t="s">
        <v>266</v>
      </c>
      <c r="E54" t="s">
        <v>285</v>
      </c>
      <c r="F54" t="s">
        <v>157</v>
      </c>
    </row>
    <row r="55" spans="1:6" x14ac:dyDescent="0.3">
      <c r="A55" t="s">
        <v>119</v>
      </c>
      <c r="B55" t="s">
        <v>266</v>
      </c>
      <c r="C55" t="s">
        <v>266</v>
      </c>
      <c r="D55" t="s">
        <v>266</v>
      </c>
      <c r="E55" t="s">
        <v>276</v>
      </c>
      <c r="F55" t="s">
        <v>266</v>
      </c>
    </row>
    <row r="56" spans="1:6" x14ac:dyDescent="0.3">
      <c r="A56" t="s">
        <v>124</v>
      </c>
      <c r="B56" t="s">
        <v>143</v>
      </c>
      <c r="C56" t="s">
        <v>266</v>
      </c>
      <c r="D56" t="s">
        <v>166</v>
      </c>
      <c r="E56" t="s">
        <v>282</v>
      </c>
      <c r="F56" t="s">
        <v>156</v>
      </c>
    </row>
    <row r="57" spans="1:6" x14ac:dyDescent="0.3">
      <c r="A57" t="s">
        <v>124</v>
      </c>
      <c r="B57" t="s">
        <v>143</v>
      </c>
      <c r="C57" t="s">
        <v>266</v>
      </c>
      <c r="D57" t="s">
        <v>166</v>
      </c>
      <c r="E57" t="s">
        <v>282</v>
      </c>
      <c r="F57" t="s">
        <v>156</v>
      </c>
    </row>
    <row r="58" spans="1:6" x14ac:dyDescent="0.3">
      <c r="A58" t="s">
        <v>126</v>
      </c>
      <c r="B58" t="s">
        <v>143</v>
      </c>
      <c r="C58" t="s">
        <v>148</v>
      </c>
      <c r="D58" t="s">
        <v>266</v>
      </c>
      <c r="E58" t="s">
        <v>282</v>
      </c>
      <c r="F58" t="s">
        <v>156</v>
      </c>
    </row>
    <row r="59" spans="1:6" x14ac:dyDescent="0.3">
      <c r="A59" t="s">
        <v>126</v>
      </c>
      <c r="B59" t="s">
        <v>143</v>
      </c>
      <c r="C59" t="s">
        <v>148</v>
      </c>
      <c r="D59" t="s">
        <v>266</v>
      </c>
      <c r="E59" t="s">
        <v>282</v>
      </c>
      <c r="F59" t="s">
        <v>156</v>
      </c>
    </row>
    <row r="60" spans="1:6" x14ac:dyDescent="0.3">
      <c r="A60" t="s">
        <v>59</v>
      </c>
      <c r="B60" t="s">
        <v>278</v>
      </c>
      <c r="C60" t="s">
        <v>266</v>
      </c>
      <c r="D60" t="s">
        <v>266</v>
      </c>
      <c r="E60" t="s">
        <v>276</v>
      </c>
      <c r="F60" t="s">
        <v>266</v>
      </c>
    </row>
    <row r="61" spans="1:6" x14ac:dyDescent="0.3">
      <c r="A61" t="s">
        <v>109</v>
      </c>
      <c r="B61" t="s">
        <v>143</v>
      </c>
      <c r="C61" t="s">
        <v>155</v>
      </c>
      <c r="D61" t="s">
        <v>147</v>
      </c>
      <c r="E61" t="s">
        <v>282</v>
      </c>
      <c r="F61" t="s">
        <v>266</v>
      </c>
    </row>
    <row r="62" spans="1:6" x14ac:dyDescent="0.3">
      <c r="A62" t="s">
        <v>98</v>
      </c>
      <c r="B62" t="s">
        <v>143</v>
      </c>
      <c r="C62" t="s">
        <v>266</v>
      </c>
      <c r="D62" t="s">
        <v>266</v>
      </c>
      <c r="E62" t="s">
        <v>276</v>
      </c>
      <c r="F62" t="s">
        <v>266</v>
      </c>
    </row>
    <row r="63" spans="1:6" x14ac:dyDescent="0.3">
      <c r="A63" t="s">
        <v>121</v>
      </c>
      <c r="B63" t="s">
        <v>143</v>
      </c>
      <c r="C63" t="s">
        <v>266</v>
      </c>
      <c r="D63" t="s">
        <v>145</v>
      </c>
      <c r="E63" t="s">
        <v>283</v>
      </c>
      <c r="F63" t="s">
        <v>266</v>
      </c>
    </row>
    <row r="64" spans="1:6" x14ac:dyDescent="0.3">
      <c r="A64" t="s">
        <v>98</v>
      </c>
      <c r="B64" t="s">
        <v>143</v>
      </c>
      <c r="C64" t="s">
        <v>266</v>
      </c>
      <c r="D64" t="s">
        <v>266</v>
      </c>
      <c r="E64" t="s">
        <v>276</v>
      </c>
      <c r="F64" t="s">
        <v>266</v>
      </c>
    </row>
    <row r="65" spans="1:6" x14ac:dyDescent="0.3">
      <c r="A65" t="s">
        <v>131</v>
      </c>
      <c r="B65" t="s">
        <v>143</v>
      </c>
      <c r="C65" t="s">
        <v>266</v>
      </c>
      <c r="D65" t="s">
        <v>145</v>
      </c>
      <c r="E65" t="s">
        <v>281</v>
      </c>
      <c r="F65" t="s">
        <v>156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40"/>
  <sheetViews>
    <sheetView rightToLeft="1" zoomScaleNormal="100" workbookViewId="0">
      <selection activeCell="C115" sqref="C115"/>
    </sheetView>
  </sheetViews>
  <sheetFormatPr defaultColWidth="8.88671875" defaultRowHeight="14.4" x14ac:dyDescent="0.3"/>
  <cols>
    <col min="1" max="1" width="16.33203125" style="1" bestFit="1" customWidth="1"/>
    <col min="2" max="2" width="12" style="1" bestFit="1" customWidth="1"/>
    <col min="3" max="3" width="30" style="1" bestFit="1" customWidth="1"/>
    <col min="4" max="4" width="12.5546875" style="1" customWidth="1"/>
    <col min="5" max="6" width="14.109375" style="1" customWidth="1"/>
    <col min="7" max="7" width="18.33203125" style="1" customWidth="1"/>
    <col min="8" max="8" width="14.109375" style="1" customWidth="1"/>
    <col min="9" max="9" width="36.109375" style="1" bestFit="1" customWidth="1"/>
    <col min="10" max="10" width="8.44140625" style="1" bestFit="1" customWidth="1"/>
    <col min="11" max="11" width="34.44140625" style="4" customWidth="1"/>
    <col min="12" max="12" width="13" style="1" customWidth="1"/>
    <col min="13" max="13" width="34.44140625" style="1" customWidth="1"/>
    <col min="14" max="14" width="18.109375" style="1" customWidth="1"/>
    <col min="15" max="15" width="17.77734375" style="1" bestFit="1" customWidth="1"/>
    <col min="16" max="16" width="17.77734375" style="1" customWidth="1"/>
    <col min="17" max="17" width="23.88671875" style="17" bestFit="1" customWidth="1"/>
    <col min="18" max="18" width="33" style="17" customWidth="1"/>
    <col min="19" max="19" width="11.77734375" style="15" customWidth="1"/>
    <col min="20" max="20" width="12.44140625" style="1" customWidth="1"/>
    <col min="21" max="21" width="23" style="1" customWidth="1"/>
    <col min="22" max="22" width="26.77734375" style="1" bestFit="1" customWidth="1"/>
    <col min="23" max="16384" width="8.88671875" style="1"/>
  </cols>
  <sheetData>
    <row r="1" spans="1:21" ht="20.100000000000001" customHeight="1" x14ac:dyDescent="0.3">
      <c r="A1" t="s">
        <v>0</v>
      </c>
      <c r="B1" t="s">
        <v>261</v>
      </c>
      <c r="C1" t="s">
        <v>1</v>
      </c>
      <c r="D1" t="s">
        <v>262</v>
      </c>
      <c r="E1" t="s">
        <v>5</v>
      </c>
      <c r="F1" t="s">
        <v>259</v>
      </c>
      <c r="G1" t="s">
        <v>260</v>
      </c>
      <c r="H1" t="s">
        <v>287</v>
      </c>
      <c r="I1" t="s">
        <v>164</v>
      </c>
      <c r="J1" t="s">
        <v>288</v>
      </c>
      <c r="K1" t="s">
        <v>2</v>
      </c>
      <c r="L1" t="s">
        <v>7</v>
      </c>
      <c r="M1" t="s">
        <v>8</v>
      </c>
      <c r="N1" s="18" t="s">
        <v>289</v>
      </c>
      <c r="O1" t="s">
        <v>290</v>
      </c>
      <c r="P1" t="s">
        <v>304</v>
      </c>
      <c r="Q1" s="15" t="s">
        <v>10</v>
      </c>
      <c r="R1" s="15" t="s">
        <v>9</v>
      </c>
      <c r="S1" s="15" t="s">
        <v>3</v>
      </c>
      <c r="T1" t="s">
        <v>4</v>
      </c>
      <c r="U1" t="s">
        <v>174</v>
      </c>
    </row>
    <row r="2" spans="1:21" ht="20.100000000000001" customHeight="1" x14ac:dyDescent="0.3">
      <c r="A2" t="s">
        <v>11</v>
      </c>
      <c r="B2"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2" t="s">
        <v>12</v>
      </c>
      <c r="D2" t="s">
        <v>265</v>
      </c>
      <c r="E2" t="s">
        <v>6</v>
      </c>
      <c r="F2" t="s">
        <v>143</v>
      </c>
      <c r="G2" t="s">
        <v>144</v>
      </c>
      <c r="H2" s="1" t="s">
        <v>266</v>
      </c>
      <c r="I2">
        <v>0</v>
      </c>
      <c r="J2" t="s">
        <v>156</v>
      </c>
      <c r="K2" t="s">
        <v>13</v>
      </c>
      <c r="L2">
        <v>10160</v>
      </c>
      <c r="M2" t="s">
        <v>14</v>
      </c>
      <c r="N2">
        <f>IF(OR(ISBLANK(Table1[[#This Row],[ميعاد الطلب]]), ISBLANK(Table1[[#This Row],[ميعاد التسليم]])), 0, Table1[[#This Row],[ميعاد التسليم]] - Table1[[#This Row],[ميعاد الطلب]])</f>
        <v>0</v>
      </c>
      <c r="O2">
        <f>IF(OR(ISBLANK(Table1[[#This Row],[ميعاد الطلب]]), ISBLANK(Table1[[#This Row],[تاريخ التسليم]])), 0, Table1[[#This Row],[تاريخ التسليم]] - Table1[[#This Row],[ميعاد الطلب]])</f>
        <v>14</v>
      </c>
      <c r="P2">
        <f>IF(Table1[[#This Row],[مدة التسليم (الهدف)]] &lt;=Table1[[#This Row],[مدة التسليم (الفعلي)]], 0,1)</f>
        <v>0</v>
      </c>
      <c r="Q2" s="15">
        <v>45500</v>
      </c>
      <c r="R2" s="15"/>
      <c r="S2" s="15">
        <v>45514</v>
      </c>
      <c r="T2" t="s">
        <v>24</v>
      </c>
      <c r="U2" t="s">
        <v>177</v>
      </c>
    </row>
    <row r="3" spans="1:21" ht="20.100000000000001" customHeight="1" x14ac:dyDescent="0.3">
      <c r="A3" t="s">
        <v>15</v>
      </c>
      <c r="B3"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3" t="s">
        <v>16</v>
      </c>
      <c r="D3" t="s">
        <v>267</v>
      </c>
      <c r="E3" t="s">
        <v>6</v>
      </c>
      <c r="F3" t="s">
        <v>143</v>
      </c>
      <c r="G3" t="s">
        <v>144</v>
      </c>
      <c r="H3" s="1" t="s">
        <v>266</v>
      </c>
      <c r="I3">
        <v>0</v>
      </c>
      <c r="J3" t="s">
        <v>157</v>
      </c>
      <c r="K3" t="s">
        <v>17</v>
      </c>
      <c r="L3">
        <v>10160</v>
      </c>
      <c r="M3" t="s">
        <v>274</v>
      </c>
      <c r="N3">
        <f>IF(OR(ISBLANK(Table1[[#This Row],[ميعاد الطلب]]), ISBLANK(Table1[[#This Row],[ميعاد التسليم]])), 0, Table1[[#This Row],[ميعاد التسليم]] - Table1[[#This Row],[ميعاد الطلب]])</f>
        <v>0</v>
      </c>
      <c r="O3">
        <f>IF(OR(ISBLANK(Table1[[#This Row],[ميعاد الطلب]]), ISBLANK(Table1[[#This Row],[تاريخ التسليم]])), 0, Table1[[#This Row],[تاريخ التسليم]] - Table1[[#This Row],[ميعاد الطلب]])</f>
        <v>14</v>
      </c>
      <c r="P3">
        <f>IF(Table1[[#This Row],[مدة التسليم (الهدف)]] &lt;=Table1[[#This Row],[مدة التسليم (الفعلي)]], 0,1)</f>
        <v>0</v>
      </c>
      <c r="Q3" s="15">
        <v>45501</v>
      </c>
      <c r="R3" s="15"/>
      <c r="S3" s="15">
        <v>45515</v>
      </c>
      <c r="T3" t="s">
        <v>24</v>
      </c>
      <c r="U3" t="s">
        <v>177</v>
      </c>
    </row>
    <row r="4" spans="1:21" ht="20.100000000000001" customHeight="1" x14ac:dyDescent="0.3">
      <c r="A4" t="s">
        <v>18</v>
      </c>
      <c r="B4"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4" t="s">
        <v>19</v>
      </c>
      <c r="D4" t="s">
        <v>268</v>
      </c>
      <c r="E4" t="s">
        <v>6</v>
      </c>
      <c r="F4" t="s">
        <v>143</v>
      </c>
      <c r="G4" t="s">
        <v>155</v>
      </c>
      <c r="H4" t="s">
        <v>147</v>
      </c>
      <c r="I4">
        <v>90</v>
      </c>
      <c r="J4" t="s">
        <v>159</v>
      </c>
      <c r="K4" t="s">
        <v>20</v>
      </c>
      <c r="L4">
        <v>11455</v>
      </c>
      <c r="M4" t="s">
        <v>274</v>
      </c>
      <c r="N4">
        <f>IF(OR(ISBLANK(Table1[[#This Row],[ميعاد الطلب]]), ISBLANK(Table1[[#This Row],[ميعاد التسليم]])), 0, Table1[[#This Row],[ميعاد التسليم]] - Table1[[#This Row],[ميعاد الطلب]])</f>
        <v>0</v>
      </c>
      <c r="O4">
        <f>IF(OR(ISBLANK(Table1[[#This Row],[ميعاد الطلب]]), ISBLANK(Table1[[#This Row],[تاريخ التسليم]])), 0, Table1[[#This Row],[تاريخ التسليم]] - Table1[[#This Row],[ميعاد الطلب]])</f>
        <v>0</v>
      </c>
      <c r="P4">
        <f>IF(Table1[[#This Row],[مدة التسليم (الهدف)]] &lt;=Table1[[#This Row],[مدة التسليم (الفعلي)]], 0,1)</f>
        <v>0</v>
      </c>
      <c r="Q4" s="15">
        <v>45500</v>
      </c>
      <c r="R4" s="15"/>
      <c r="T4" t="s">
        <v>33</v>
      </c>
      <c r="U4" t="s">
        <v>175</v>
      </c>
    </row>
    <row r="5" spans="1:21" ht="20.100000000000001" customHeight="1" x14ac:dyDescent="0.3">
      <c r="A5" t="s">
        <v>21</v>
      </c>
      <c r="B5"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5" t="s">
        <v>22</v>
      </c>
      <c r="D5" t="s">
        <v>269</v>
      </c>
      <c r="E5" t="s">
        <v>6</v>
      </c>
      <c r="F5" t="s">
        <v>273</v>
      </c>
      <c r="G5" t="s">
        <v>266</v>
      </c>
      <c r="H5" s="1" t="s">
        <v>266</v>
      </c>
      <c r="I5">
        <v>0</v>
      </c>
      <c r="J5" t="s">
        <v>266</v>
      </c>
      <c r="K5" t="s">
        <v>23</v>
      </c>
      <c r="L5">
        <v>8642</v>
      </c>
      <c r="M5" t="s">
        <v>14</v>
      </c>
      <c r="N5">
        <f>IF(OR(ISBLANK(Table1[[#This Row],[ميعاد الطلب]]), ISBLANK(Table1[[#This Row],[ميعاد التسليم]])), 0, Table1[[#This Row],[ميعاد التسليم]] - Table1[[#This Row],[ميعاد الطلب]])</f>
        <v>13</v>
      </c>
      <c r="O5">
        <f>IF(OR(ISBLANK(Table1[[#This Row],[ميعاد الطلب]]), ISBLANK(Table1[[#This Row],[تاريخ التسليم]])), 0, Table1[[#This Row],[تاريخ التسليم]] - Table1[[#This Row],[ميعاد الطلب]])</f>
        <v>2</v>
      </c>
      <c r="P5">
        <f>IF(Table1[[#This Row],[مدة التسليم (الهدف)]] &lt;=Table1[[#This Row],[مدة التسليم (الفعلي)]], 0,1)</f>
        <v>1</v>
      </c>
      <c r="Q5" s="15">
        <v>45529</v>
      </c>
      <c r="R5" s="15">
        <v>45542</v>
      </c>
      <c r="S5" s="15">
        <v>45531</v>
      </c>
      <c r="T5" t="s">
        <v>24</v>
      </c>
      <c r="U5" t="s">
        <v>177</v>
      </c>
    </row>
    <row r="6" spans="1:21" ht="20.100000000000001" customHeight="1" x14ac:dyDescent="0.3">
      <c r="A6" t="s">
        <v>25</v>
      </c>
      <c r="B6"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6" t="s">
        <v>19</v>
      </c>
      <c r="D6" t="s">
        <v>268</v>
      </c>
      <c r="E6" t="s">
        <v>6</v>
      </c>
      <c r="F6" t="s">
        <v>143</v>
      </c>
      <c r="G6" t="s">
        <v>155</v>
      </c>
      <c r="H6" t="s">
        <v>145</v>
      </c>
      <c r="I6">
        <v>100</v>
      </c>
      <c r="J6" t="s">
        <v>161</v>
      </c>
      <c r="K6" t="s">
        <v>26</v>
      </c>
      <c r="L6">
        <v>12833</v>
      </c>
      <c r="M6" t="s">
        <v>274</v>
      </c>
      <c r="N6">
        <f>IF(OR(ISBLANK(Table1[[#This Row],[ميعاد الطلب]]), ISBLANK(Table1[[#This Row],[ميعاد التسليم]])), 0, Table1[[#This Row],[ميعاد التسليم]] - Table1[[#This Row],[ميعاد الطلب]])</f>
        <v>15</v>
      </c>
      <c r="O6">
        <f>IF(OR(ISBLANK(Table1[[#This Row],[ميعاد الطلب]]), ISBLANK(Table1[[#This Row],[تاريخ التسليم]])), 0, Table1[[#This Row],[تاريخ التسليم]] - Table1[[#This Row],[ميعاد الطلب]])</f>
        <v>0</v>
      </c>
      <c r="P6">
        <f>IF(Table1[[#This Row],[مدة التسليم (الهدف)]] &lt;=Table1[[#This Row],[مدة التسليم (الفعلي)]], 0,1)</f>
        <v>1</v>
      </c>
      <c r="Q6" s="15">
        <v>45520</v>
      </c>
      <c r="R6" s="15">
        <v>45535</v>
      </c>
      <c r="T6" t="s">
        <v>33</v>
      </c>
      <c r="U6" t="s">
        <v>175</v>
      </c>
    </row>
    <row r="7" spans="1:21" ht="20.100000000000001" customHeight="1" x14ac:dyDescent="0.3">
      <c r="A7" t="s">
        <v>27</v>
      </c>
      <c r="B7"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7"/>
      <c r="D7" t="s">
        <v>266</v>
      </c>
      <c r="E7" t="s">
        <v>48</v>
      </c>
      <c r="F7" t="s">
        <v>152</v>
      </c>
      <c r="G7" t="s">
        <v>154</v>
      </c>
      <c r="H7" s="1" t="s">
        <v>266</v>
      </c>
      <c r="I7">
        <v>0</v>
      </c>
      <c r="J7" t="s">
        <v>266</v>
      </c>
      <c r="K7" t="s">
        <v>28</v>
      </c>
      <c r="L7">
        <v>14550</v>
      </c>
      <c r="M7" t="s">
        <v>14</v>
      </c>
      <c r="N7">
        <f>IF(OR(ISBLANK(Table1[[#This Row],[ميعاد الطلب]]), ISBLANK(Table1[[#This Row],[ميعاد التسليم]])), 0, Table1[[#This Row],[ميعاد التسليم]] - Table1[[#This Row],[ميعاد الطلب]])</f>
        <v>20</v>
      </c>
      <c r="O7">
        <f>IF(OR(ISBLANK(Table1[[#This Row],[ميعاد الطلب]]), ISBLANK(Table1[[#This Row],[تاريخ التسليم]])), 0, Table1[[#This Row],[تاريخ التسليم]] - Table1[[#This Row],[ميعاد الطلب]])</f>
        <v>22</v>
      </c>
      <c r="P7">
        <f>IF(Table1[[#This Row],[مدة التسليم (الهدف)]] &lt;=Table1[[#This Row],[مدة التسليم (الفعلي)]], 0,1)</f>
        <v>0</v>
      </c>
      <c r="Q7" s="15">
        <v>45518</v>
      </c>
      <c r="R7" s="15">
        <v>45538</v>
      </c>
      <c r="S7" s="15">
        <v>45540</v>
      </c>
      <c r="T7" t="s">
        <v>24</v>
      </c>
      <c r="U7" t="s">
        <v>177</v>
      </c>
    </row>
    <row r="8" spans="1:21" ht="20.100000000000001" customHeight="1" x14ac:dyDescent="0.3">
      <c r="A8" t="s">
        <v>29</v>
      </c>
      <c r="B8"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8" t="s">
        <v>30</v>
      </c>
      <c r="D8" t="s">
        <v>263</v>
      </c>
      <c r="E8" t="s">
        <v>31</v>
      </c>
      <c r="F8" t="s">
        <v>152</v>
      </c>
      <c r="G8" t="s">
        <v>154</v>
      </c>
      <c r="H8" s="1" t="s">
        <v>266</v>
      </c>
      <c r="I8">
        <v>0</v>
      </c>
      <c r="J8" t="s">
        <v>266</v>
      </c>
      <c r="K8" t="s">
        <v>28</v>
      </c>
      <c r="L8">
        <v>12000</v>
      </c>
      <c r="M8" t="s">
        <v>274</v>
      </c>
      <c r="N8">
        <f>IF(OR(ISBLANK(Table1[[#This Row],[ميعاد الطلب]]), ISBLANK(Table1[[#This Row],[ميعاد التسليم]])), 0, Table1[[#This Row],[ميعاد التسليم]] - Table1[[#This Row],[ميعاد الطلب]])</f>
        <v>3</v>
      </c>
      <c r="O8">
        <f>IF(OR(ISBLANK(Table1[[#This Row],[ميعاد الطلب]]), ISBLANK(Table1[[#This Row],[تاريخ التسليم]])), 0, Table1[[#This Row],[تاريخ التسليم]] - Table1[[#This Row],[ميعاد الطلب]])</f>
        <v>2</v>
      </c>
      <c r="P8">
        <f>IF(Table1[[#This Row],[مدة التسليم (الهدف)]] &lt;=Table1[[#This Row],[مدة التسليم (الفعلي)]], 0,1)</f>
        <v>1</v>
      </c>
      <c r="Q8" s="15">
        <v>45521</v>
      </c>
      <c r="R8" s="15">
        <v>45524</v>
      </c>
      <c r="S8" s="15">
        <v>45523</v>
      </c>
      <c r="T8" t="s">
        <v>32</v>
      </c>
      <c r="U8" t="s">
        <v>177</v>
      </c>
    </row>
    <row r="9" spans="1:21" ht="20.100000000000001" customHeight="1" x14ac:dyDescent="0.3">
      <c r="A9" t="s">
        <v>34</v>
      </c>
      <c r="B9"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9" t="s">
        <v>35</v>
      </c>
      <c r="D9" t="s">
        <v>265</v>
      </c>
      <c r="E9" t="s">
        <v>6</v>
      </c>
      <c r="F9" t="s">
        <v>143</v>
      </c>
      <c r="G9" t="s">
        <v>222</v>
      </c>
      <c r="H9" s="1" t="s">
        <v>266</v>
      </c>
      <c r="I9" s="19">
        <v>120</v>
      </c>
      <c r="J9" t="s">
        <v>156</v>
      </c>
      <c r="K9" t="s">
        <v>294</v>
      </c>
      <c r="L9">
        <v>7228</v>
      </c>
      <c r="M9" t="s">
        <v>14</v>
      </c>
      <c r="N9">
        <f>IF(OR(ISBLANK(Table1[[#This Row],[ميعاد الطلب]]), ISBLANK(Table1[[#This Row],[ميعاد التسليم]])), 0, Table1[[#This Row],[ميعاد التسليم]] - Table1[[#This Row],[ميعاد الطلب]])</f>
        <v>9</v>
      </c>
      <c r="O9">
        <f>IF(OR(ISBLANK(Table1[[#This Row],[ميعاد الطلب]]), ISBLANK(Table1[[#This Row],[تاريخ التسليم]])), 0, Table1[[#This Row],[تاريخ التسليم]] - Table1[[#This Row],[ميعاد الطلب]])</f>
        <v>16</v>
      </c>
      <c r="P9">
        <f>IF(Table1[[#This Row],[مدة التسليم (الهدف)]] &lt;=Table1[[#This Row],[مدة التسليم (الفعلي)]], 0,1)</f>
        <v>0</v>
      </c>
      <c r="Q9" s="15">
        <v>45529</v>
      </c>
      <c r="R9" s="15">
        <v>45538</v>
      </c>
      <c r="S9" s="15">
        <v>45545</v>
      </c>
      <c r="T9" t="s">
        <v>24</v>
      </c>
      <c r="U9" t="s">
        <v>177</v>
      </c>
    </row>
    <row r="10" spans="1:21" ht="20.100000000000001" customHeight="1" x14ac:dyDescent="0.3">
      <c r="A10" t="s">
        <v>37</v>
      </c>
      <c r="B10"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10" t="s">
        <v>38</v>
      </c>
      <c r="D10" t="s">
        <v>263</v>
      </c>
      <c r="E10" t="s">
        <v>39</v>
      </c>
      <c r="F10" t="s">
        <v>149</v>
      </c>
      <c r="G10" t="s">
        <v>151</v>
      </c>
      <c r="H10" s="1" t="s">
        <v>266</v>
      </c>
      <c r="I10">
        <v>0</v>
      </c>
      <c r="J10" t="s">
        <v>266</v>
      </c>
      <c r="K10" t="s">
        <v>40</v>
      </c>
      <c r="L10">
        <v>22000</v>
      </c>
      <c r="M10" t="s">
        <v>274</v>
      </c>
      <c r="N10">
        <f>IF(OR(ISBLANK(Table1[[#This Row],[ميعاد الطلب]]), ISBLANK(Table1[[#This Row],[ميعاد التسليم]])), 0, Table1[[#This Row],[ميعاد التسليم]] - Table1[[#This Row],[ميعاد الطلب]])</f>
        <v>13</v>
      </c>
      <c r="O10">
        <f>IF(OR(ISBLANK(Table1[[#This Row],[ميعاد الطلب]]), ISBLANK(Table1[[#This Row],[تاريخ التسليم]])), 0, Table1[[#This Row],[تاريخ التسليم]] - Table1[[#This Row],[ميعاد الطلب]])</f>
        <v>29</v>
      </c>
      <c r="P10">
        <f>IF(Table1[[#This Row],[مدة التسليم (الهدف)]] &lt;=Table1[[#This Row],[مدة التسليم (الفعلي)]], 0,1)</f>
        <v>0</v>
      </c>
      <c r="Q10" s="15">
        <v>45523</v>
      </c>
      <c r="R10" s="15">
        <v>45536</v>
      </c>
      <c r="S10" s="15">
        <v>45552</v>
      </c>
      <c r="T10"/>
      <c r="U10" t="s">
        <v>177</v>
      </c>
    </row>
    <row r="11" spans="1:21" ht="20.100000000000001" customHeight="1" x14ac:dyDescent="0.3">
      <c r="A11" t="s">
        <v>37</v>
      </c>
      <c r="B11"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11" t="s">
        <v>38</v>
      </c>
      <c r="D11" t="s">
        <v>263</v>
      </c>
      <c r="E11" t="s">
        <v>39</v>
      </c>
      <c r="F11" t="s">
        <v>152</v>
      </c>
      <c r="G11" t="s">
        <v>150</v>
      </c>
      <c r="H11" s="1" t="s">
        <v>266</v>
      </c>
      <c r="I11">
        <v>0</v>
      </c>
      <c r="J11" t="s">
        <v>266</v>
      </c>
      <c r="K11" t="s">
        <v>41</v>
      </c>
      <c r="L11">
        <v>16000</v>
      </c>
      <c r="M11" t="s">
        <v>274</v>
      </c>
      <c r="N11">
        <f>IF(OR(ISBLANK(Table1[[#This Row],[ميعاد الطلب]]), ISBLANK(Table1[[#This Row],[ميعاد التسليم]])), 0, Table1[[#This Row],[ميعاد التسليم]] - Table1[[#This Row],[ميعاد الطلب]])</f>
        <v>0</v>
      </c>
      <c r="O11">
        <f>IF(OR(ISBLANK(Table1[[#This Row],[ميعاد الطلب]]), ISBLANK(Table1[[#This Row],[تاريخ التسليم]])), 0, Table1[[#This Row],[تاريخ التسليم]] - Table1[[#This Row],[ميعاد الطلب]])</f>
        <v>0</v>
      </c>
      <c r="P11">
        <f>IF(Table1[[#This Row],[مدة التسليم (الهدف)]] &lt;=Table1[[#This Row],[مدة التسليم (الفعلي)]], 0,1)</f>
        <v>0</v>
      </c>
      <c r="Q11" s="15"/>
      <c r="R11" s="15"/>
      <c r="T11" t="s">
        <v>104</v>
      </c>
      <c r="U11" t="s">
        <v>175</v>
      </c>
    </row>
    <row r="12" spans="1:21" ht="20.100000000000001" customHeight="1" x14ac:dyDescent="0.3">
      <c r="A12" t="s">
        <v>37</v>
      </c>
      <c r="B12"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12" t="s">
        <v>42</v>
      </c>
      <c r="D12" t="s">
        <v>263</v>
      </c>
      <c r="E12" t="s">
        <v>39</v>
      </c>
      <c r="F12" t="s">
        <v>152</v>
      </c>
      <c r="G12" t="s">
        <v>150</v>
      </c>
      <c r="H12" s="1" t="s">
        <v>266</v>
      </c>
      <c r="I12">
        <v>0</v>
      </c>
      <c r="J12" t="s">
        <v>266</v>
      </c>
      <c r="K12" t="s">
        <v>43</v>
      </c>
      <c r="L12">
        <v>6000</v>
      </c>
      <c r="M12" t="s">
        <v>274</v>
      </c>
      <c r="N12">
        <f>IF(OR(ISBLANK(Table1[[#This Row],[ميعاد الطلب]]), ISBLANK(Table1[[#This Row],[ميعاد التسليم]])), 0, Table1[[#This Row],[ميعاد التسليم]] - Table1[[#This Row],[ميعاد الطلب]])</f>
        <v>21</v>
      </c>
      <c r="O12">
        <f>IF(OR(ISBLANK(Table1[[#This Row],[ميعاد الطلب]]), ISBLANK(Table1[[#This Row],[تاريخ التسليم]])), 0, Table1[[#This Row],[تاريخ التسليم]] - Table1[[#This Row],[ميعاد الطلب]])</f>
        <v>23</v>
      </c>
      <c r="P12">
        <f>IF(Table1[[#This Row],[مدة التسليم (الهدف)]] &lt;=Table1[[#This Row],[مدة التسليم (الفعلي)]], 0,1)</f>
        <v>0</v>
      </c>
      <c r="Q12" s="15">
        <v>45529</v>
      </c>
      <c r="R12" s="15">
        <v>45550</v>
      </c>
      <c r="S12" s="15">
        <v>45552</v>
      </c>
      <c r="T12" t="s">
        <v>178</v>
      </c>
      <c r="U12" t="s">
        <v>177</v>
      </c>
    </row>
    <row r="13" spans="1:21" ht="20.100000000000001" customHeight="1" x14ac:dyDescent="0.3">
      <c r="A13" t="s">
        <v>44</v>
      </c>
      <c r="B13"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3" t="s">
        <v>45</v>
      </c>
      <c r="D13" t="s">
        <v>263</v>
      </c>
      <c r="E13" t="s">
        <v>6</v>
      </c>
      <c r="F13" t="s">
        <v>143</v>
      </c>
      <c r="G13" t="s">
        <v>155</v>
      </c>
      <c r="H13" t="s">
        <v>145</v>
      </c>
      <c r="I13">
        <v>80</v>
      </c>
      <c r="J13" t="s">
        <v>156</v>
      </c>
      <c r="K13" t="s">
        <v>46</v>
      </c>
      <c r="L13">
        <v>10499</v>
      </c>
      <c r="M13" t="s">
        <v>274</v>
      </c>
      <c r="N13">
        <f>IF(OR(ISBLANK(Table1[[#This Row],[ميعاد الطلب]]), ISBLANK(Table1[[#This Row],[ميعاد التسليم]])), 0, Table1[[#This Row],[ميعاد التسليم]] - Table1[[#This Row],[ميعاد الطلب]])</f>
        <v>15</v>
      </c>
      <c r="O13">
        <f>IF(OR(ISBLANK(Table1[[#This Row],[ميعاد الطلب]]), ISBLANK(Table1[[#This Row],[تاريخ التسليم]])), 0, Table1[[#This Row],[تاريخ التسليم]] - Table1[[#This Row],[ميعاد الطلب]])</f>
        <v>7</v>
      </c>
      <c r="P13">
        <f>IF(Table1[[#This Row],[مدة التسليم (الهدف)]] &lt;=Table1[[#This Row],[مدة التسليم (الفعلي)]], 0,1)</f>
        <v>1</v>
      </c>
      <c r="Q13" s="15">
        <v>45536</v>
      </c>
      <c r="R13" s="15">
        <v>45551</v>
      </c>
      <c r="S13" s="15">
        <v>45543</v>
      </c>
      <c r="T13" t="s">
        <v>24</v>
      </c>
      <c r="U13" t="s">
        <v>177</v>
      </c>
    </row>
    <row r="14" spans="1:21" ht="20.100000000000001" customHeight="1" x14ac:dyDescent="0.3">
      <c r="A14" t="s">
        <v>61</v>
      </c>
      <c r="B14"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4" t="s">
        <v>35</v>
      </c>
      <c r="D14" t="s">
        <v>265</v>
      </c>
      <c r="E14" t="s">
        <v>6</v>
      </c>
      <c r="F14" t="s">
        <v>143</v>
      </c>
      <c r="G14" t="s">
        <v>222</v>
      </c>
      <c r="H14" t="s">
        <v>145</v>
      </c>
      <c r="I14">
        <v>80</v>
      </c>
      <c r="J14" t="s">
        <v>156</v>
      </c>
      <c r="K14" t="s">
        <v>295</v>
      </c>
      <c r="L14">
        <v>7295</v>
      </c>
      <c r="M14" t="s">
        <v>274</v>
      </c>
      <c r="N14">
        <f>IF(OR(ISBLANK(Table1[[#This Row],[ميعاد الطلب]]), ISBLANK(Table1[[#This Row],[ميعاد التسليم]])), 0, Table1[[#This Row],[ميعاد التسليم]] - Table1[[#This Row],[ميعاد الطلب]])</f>
        <v>9</v>
      </c>
      <c r="O14">
        <f>IF(OR(ISBLANK(Table1[[#This Row],[ميعاد الطلب]]), ISBLANK(Table1[[#This Row],[تاريخ التسليم]])), 0, Table1[[#This Row],[تاريخ التسليم]] - Table1[[#This Row],[ميعاد الطلب]])</f>
        <v>0</v>
      </c>
      <c r="P14">
        <f>IF(Table1[[#This Row],[مدة التسليم (الهدف)]] &lt;=Table1[[#This Row],[مدة التسليم (الفعلي)]], 0,1)</f>
        <v>1</v>
      </c>
      <c r="Q14" s="15">
        <v>45540</v>
      </c>
      <c r="R14" s="15">
        <v>45549</v>
      </c>
      <c r="T14"/>
      <c r="U14" t="s">
        <v>175</v>
      </c>
    </row>
    <row r="15" spans="1:21" ht="20.100000000000001" customHeight="1" x14ac:dyDescent="0.3">
      <c r="A15" t="s">
        <v>57</v>
      </c>
      <c r="B15"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5" t="s">
        <v>58</v>
      </c>
      <c r="D15" t="s">
        <v>263</v>
      </c>
      <c r="E15" t="s">
        <v>6</v>
      </c>
      <c r="F15" t="s">
        <v>273</v>
      </c>
      <c r="G15" t="s">
        <v>234</v>
      </c>
      <c r="H15" s="1" t="s">
        <v>266</v>
      </c>
      <c r="I15">
        <v>0</v>
      </c>
      <c r="J15" t="s">
        <v>266</v>
      </c>
      <c r="K15" t="s">
        <v>59</v>
      </c>
      <c r="L15">
        <v>7849</v>
      </c>
      <c r="M15" t="s">
        <v>14</v>
      </c>
      <c r="N15">
        <f>IF(OR(ISBLANK(Table1[[#This Row],[ميعاد الطلب]]), ISBLANK(Table1[[#This Row],[ميعاد التسليم]])), 0, Table1[[#This Row],[ميعاد التسليم]] - Table1[[#This Row],[ميعاد الطلب]])</f>
        <v>12</v>
      </c>
      <c r="O15">
        <f>IF(OR(ISBLANK(Table1[[#This Row],[ميعاد الطلب]]), ISBLANK(Table1[[#This Row],[تاريخ التسليم]])), 0, Table1[[#This Row],[تاريخ التسليم]] - Table1[[#This Row],[ميعاد الطلب]])</f>
        <v>21</v>
      </c>
      <c r="P15">
        <f>IF(Table1[[#This Row],[مدة التسليم (الهدف)]] &lt;=Table1[[#This Row],[مدة التسليم (الفعلي)]], 0,1)</f>
        <v>0</v>
      </c>
      <c r="Q15" s="15">
        <v>45539</v>
      </c>
      <c r="R15" s="15">
        <v>45551</v>
      </c>
      <c r="S15" s="15">
        <v>45560</v>
      </c>
      <c r="T15" t="s">
        <v>24</v>
      </c>
      <c r="U15" t="s">
        <v>175</v>
      </c>
    </row>
    <row r="16" spans="1:21" ht="20.100000000000001" customHeight="1" x14ac:dyDescent="0.3">
      <c r="A16" t="s">
        <v>50</v>
      </c>
      <c r="B16"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6" t="s">
        <v>51</v>
      </c>
      <c r="D16" t="s">
        <v>263</v>
      </c>
      <c r="E16" t="s">
        <v>52</v>
      </c>
      <c r="F16" t="s">
        <v>143</v>
      </c>
      <c r="G16" t="s">
        <v>155</v>
      </c>
      <c r="H16" t="s">
        <v>147</v>
      </c>
      <c r="I16">
        <v>120</v>
      </c>
      <c r="J16" t="s">
        <v>157</v>
      </c>
      <c r="K16" t="s">
        <v>53</v>
      </c>
      <c r="L16">
        <v>6180</v>
      </c>
      <c r="M16" t="s">
        <v>274</v>
      </c>
      <c r="N16">
        <f>IF(OR(ISBLANK(Table1[[#This Row],[ميعاد الطلب]]), ISBLANK(Table1[[#This Row],[ميعاد التسليم]])), 0, Table1[[#This Row],[ميعاد التسليم]] - Table1[[#This Row],[ميعاد الطلب]])</f>
        <v>13</v>
      </c>
      <c r="O16">
        <f>IF(OR(ISBLANK(Table1[[#This Row],[ميعاد الطلب]]), ISBLANK(Table1[[#This Row],[تاريخ التسليم]])), 0, Table1[[#This Row],[تاريخ التسليم]] - Table1[[#This Row],[ميعاد الطلب]])</f>
        <v>12</v>
      </c>
      <c r="P16">
        <f>IF(Table1[[#This Row],[مدة التسليم (الهدف)]] &lt;=Table1[[#This Row],[مدة التسليم (الفعلي)]], 0,1)</f>
        <v>1</v>
      </c>
      <c r="Q16" s="15">
        <v>45538</v>
      </c>
      <c r="R16" s="15">
        <v>45551</v>
      </c>
      <c r="S16" s="15">
        <v>45550</v>
      </c>
      <c r="T16" t="s">
        <v>178</v>
      </c>
      <c r="U16" t="s">
        <v>177</v>
      </c>
    </row>
    <row r="17" spans="1:21" ht="20.100000000000001" customHeight="1" x14ac:dyDescent="0.3">
      <c r="A17" t="s">
        <v>54</v>
      </c>
      <c r="B17"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7" t="s">
        <v>55</v>
      </c>
      <c r="D17" t="s">
        <v>263</v>
      </c>
      <c r="E17" t="s">
        <v>6</v>
      </c>
      <c r="F17" t="s">
        <v>143</v>
      </c>
      <c r="G17" t="s">
        <v>155</v>
      </c>
      <c r="H17" t="s">
        <v>146</v>
      </c>
      <c r="I17">
        <v>80</v>
      </c>
      <c r="J17" t="s">
        <v>156</v>
      </c>
      <c r="K17" t="s">
        <v>56</v>
      </c>
      <c r="L17">
        <v>11199</v>
      </c>
      <c r="M17" t="s">
        <v>274</v>
      </c>
      <c r="N17">
        <f>IF(OR(ISBLANK(Table1[[#This Row],[ميعاد الطلب]]), ISBLANK(Table1[[#This Row],[ميعاد التسليم]])), 0, Table1[[#This Row],[ميعاد التسليم]] - Table1[[#This Row],[ميعاد الطلب]])</f>
        <v>14</v>
      </c>
      <c r="O17">
        <f>IF(OR(ISBLANK(Table1[[#This Row],[ميعاد الطلب]]), ISBLANK(Table1[[#This Row],[تاريخ التسليم]])), 0, Table1[[#This Row],[تاريخ التسليم]] - Table1[[#This Row],[ميعاد الطلب]])</f>
        <v>0</v>
      </c>
      <c r="P17">
        <f>IF(Table1[[#This Row],[مدة التسليم (الهدف)]] &lt;=Table1[[#This Row],[مدة التسليم (الفعلي)]], 0,1)</f>
        <v>1</v>
      </c>
      <c r="Q17" s="15">
        <v>45539</v>
      </c>
      <c r="R17" s="15">
        <v>45553</v>
      </c>
      <c r="T17"/>
      <c r="U17" t="s">
        <v>175</v>
      </c>
    </row>
    <row r="18" spans="1:21" ht="20.100000000000001" customHeight="1" x14ac:dyDescent="0.3">
      <c r="A18" t="s">
        <v>29</v>
      </c>
      <c r="B18"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8" t="s">
        <v>63</v>
      </c>
      <c r="D18" t="s">
        <v>263</v>
      </c>
      <c r="E18" t="s">
        <v>6</v>
      </c>
      <c r="F18" t="s">
        <v>143</v>
      </c>
      <c r="G18" t="s">
        <v>222</v>
      </c>
      <c r="H18" t="s">
        <v>166</v>
      </c>
      <c r="I18">
        <v>80</v>
      </c>
      <c r="J18" t="s">
        <v>156</v>
      </c>
      <c r="K18" t="s">
        <v>296</v>
      </c>
      <c r="L18">
        <v>7987</v>
      </c>
      <c r="M18" t="s">
        <v>14</v>
      </c>
      <c r="N18">
        <f>IF(OR(ISBLANK(Table1[[#This Row],[ميعاد الطلب]]), ISBLANK(Table1[[#This Row],[ميعاد التسليم]])), 0, Table1[[#This Row],[ميعاد التسليم]] - Table1[[#This Row],[ميعاد الطلب]])</f>
        <v>10</v>
      </c>
      <c r="O18">
        <f>IF(OR(ISBLANK(Table1[[#This Row],[ميعاد الطلب]]), ISBLANK(Table1[[#This Row],[تاريخ التسليم]])), 0, Table1[[#This Row],[تاريخ التسليم]] - Table1[[#This Row],[ميعاد الطلب]])</f>
        <v>15</v>
      </c>
      <c r="P18">
        <f>IF(Table1[[#This Row],[مدة التسليم (الهدف)]] &lt;=Table1[[#This Row],[مدة التسليم (الفعلي)]], 0,1)</f>
        <v>0</v>
      </c>
      <c r="Q18" s="15">
        <v>45541</v>
      </c>
      <c r="R18" s="15">
        <v>45551</v>
      </c>
      <c r="S18" s="15">
        <v>45556</v>
      </c>
      <c r="T18" t="s">
        <v>178</v>
      </c>
      <c r="U18" t="s">
        <v>177</v>
      </c>
    </row>
    <row r="19" spans="1:21" ht="20.100000000000001" customHeight="1" x14ac:dyDescent="0.3">
      <c r="A19" t="s">
        <v>39</v>
      </c>
      <c r="B19"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19" t="s">
        <v>38</v>
      </c>
      <c r="D19" t="s">
        <v>263</v>
      </c>
      <c r="E19" t="s">
        <v>39</v>
      </c>
      <c r="F19" t="s">
        <v>153</v>
      </c>
      <c r="G19" t="s">
        <v>188</v>
      </c>
      <c r="H19" s="1" t="s">
        <v>266</v>
      </c>
      <c r="I19">
        <v>0</v>
      </c>
      <c r="J19" t="s">
        <v>266</v>
      </c>
      <c r="K19" t="s">
        <v>60</v>
      </c>
      <c r="L19">
        <v>9300</v>
      </c>
      <c r="M19" t="s">
        <v>274</v>
      </c>
      <c r="N19">
        <f>IF(OR(ISBLANK(Table1[[#This Row],[ميعاد الطلب]]), ISBLANK(Table1[[#This Row],[ميعاد التسليم]])), 0, Table1[[#This Row],[ميعاد التسليم]] - Table1[[#This Row],[ميعاد الطلب]])</f>
        <v>11</v>
      </c>
      <c r="O19">
        <f>IF(OR(ISBLANK(Table1[[#This Row],[ميعاد الطلب]]), ISBLANK(Table1[[#This Row],[تاريخ التسليم]])), 0, Table1[[#This Row],[تاريخ التسليم]] - Table1[[#This Row],[ميعاد الطلب]])</f>
        <v>13</v>
      </c>
      <c r="P19">
        <f>IF(Table1[[#This Row],[مدة التسليم (الهدف)]] &lt;=Table1[[#This Row],[مدة التسليم (الفعلي)]], 0,1)</f>
        <v>0</v>
      </c>
      <c r="Q19" s="15">
        <v>45539</v>
      </c>
      <c r="R19" s="15">
        <v>45550</v>
      </c>
      <c r="S19" s="15">
        <v>45552</v>
      </c>
      <c r="T19" t="s">
        <v>178</v>
      </c>
      <c r="U19" t="s">
        <v>177</v>
      </c>
    </row>
    <row r="20" spans="1:21" ht="20.100000000000001" customHeight="1" x14ac:dyDescent="0.3">
      <c r="A20" t="s">
        <v>101</v>
      </c>
      <c r="B20"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20" t="s">
        <v>102</v>
      </c>
      <c r="D20" t="s">
        <v>263</v>
      </c>
      <c r="E20" t="s">
        <v>6</v>
      </c>
      <c r="F20" t="s">
        <v>273</v>
      </c>
      <c r="G20" t="s">
        <v>234</v>
      </c>
      <c r="H20" s="1" t="s">
        <v>266</v>
      </c>
      <c r="I20">
        <v>0</v>
      </c>
      <c r="J20" t="s">
        <v>266</v>
      </c>
      <c r="K20" t="s">
        <v>59</v>
      </c>
      <c r="L20">
        <v>8849</v>
      </c>
      <c r="M20" t="s">
        <v>14</v>
      </c>
      <c r="N20">
        <f>IF(OR(ISBLANK(Table1[[#This Row],[ميعاد الطلب]]), ISBLANK(Table1[[#This Row],[ميعاد التسليم]])), 0, Table1[[#This Row],[ميعاد التسليم]] - Table1[[#This Row],[ميعاد الطلب]])</f>
        <v>43</v>
      </c>
      <c r="O20">
        <f>IF(OR(ISBLANK(Table1[[#This Row],[ميعاد الطلب]]), ISBLANK(Table1[[#This Row],[تاريخ التسليم]])), 0, Table1[[#This Row],[تاريخ التسليم]] - Table1[[#This Row],[ميعاد الطلب]])</f>
        <v>0</v>
      </c>
      <c r="P20">
        <f>IF(Table1[[#This Row],[مدة التسليم (الهدف)]] &lt;=Table1[[#This Row],[مدة التسليم (الفعلي)]], 0,1)</f>
        <v>1</v>
      </c>
      <c r="Q20" s="15">
        <v>45538</v>
      </c>
      <c r="R20" s="15">
        <v>45581</v>
      </c>
      <c r="T20"/>
      <c r="U20" t="s">
        <v>175</v>
      </c>
    </row>
    <row r="21" spans="1:21" ht="20.100000000000001" customHeight="1" x14ac:dyDescent="0.3">
      <c r="A21" t="s">
        <v>65</v>
      </c>
      <c r="B21"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21" t="s">
        <v>35</v>
      </c>
      <c r="D21" t="s">
        <v>265</v>
      </c>
      <c r="E21" t="s">
        <v>6</v>
      </c>
      <c r="F21" t="s">
        <v>143</v>
      </c>
      <c r="G21" t="s">
        <v>222</v>
      </c>
      <c r="H21" t="s">
        <v>148</v>
      </c>
      <c r="I21">
        <v>120</v>
      </c>
      <c r="J21" t="s">
        <v>156</v>
      </c>
      <c r="K21" t="s">
        <v>66</v>
      </c>
      <c r="L21">
        <v>10987</v>
      </c>
      <c r="M21" t="s">
        <v>14</v>
      </c>
      <c r="N21">
        <f>IF(OR(ISBLANK(Table1[[#This Row],[ميعاد الطلب]]), ISBLANK(Table1[[#This Row],[ميعاد التسليم]])), 0, Table1[[#This Row],[ميعاد التسليم]] - Table1[[#This Row],[ميعاد الطلب]])</f>
        <v>8</v>
      </c>
      <c r="O21">
        <f>IF(OR(ISBLANK(Table1[[#This Row],[ميعاد الطلب]]), ISBLANK(Table1[[#This Row],[تاريخ التسليم]])), 0, Table1[[#This Row],[تاريخ التسليم]] - Table1[[#This Row],[ميعاد الطلب]])</f>
        <v>12</v>
      </c>
      <c r="P21">
        <f>IF(Table1[[#This Row],[مدة التسليم (الهدف)]] &lt;=Table1[[#This Row],[مدة التسليم (الفعلي)]], 0,1)</f>
        <v>0</v>
      </c>
      <c r="Q21" s="15">
        <v>45544</v>
      </c>
      <c r="R21" s="15">
        <v>45552</v>
      </c>
      <c r="S21" s="15">
        <v>45556</v>
      </c>
      <c r="T21" t="s">
        <v>178</v>
      </c>
      <c r="U21" t="s">
        <v>177</v>
      </c>
    </row>
    <row r="22" spans="1:21" ht="20.100000000000001" customHeight="1" x14ac:dyDescent="0.3">
      <c r="A22" t="s">
        <v>27</v>
      </c>
      <c r="B22"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22"/>
      <c r="D22" t="s">
        <v>266</v>
      </c>
      <c r="E22" t="s">
        <v>48</v>
      </c>
      <c r="F22" t="s">
        <v>143</v>
      </c>
      <c r="G22" t="s">
        <v>155</v>
      </c>
      <c r="H22" t="s">
        <v>146</v>
      </c>
      <c r="I22">
        <v>100</v>
      </c>
      <c r="J22" t="s">
        <v>156</v>
      </c>
      <c r="K22" t="s">
        <v>47</v>
      </c>
      <c r="L22">
        <v>9208</v>
      </c>
      <c r="M22" t="s">
        <v>274</v>
      </c>
      <c r="N22">
        <f>IF(OR(ISBLANK(Table1[[#This Row],[ميعاد الطلب]]), ISBLANK(Table1[[#This Row],[ميعاد التسليم]])), 0, Table1[[#This Row],[ميعاد التسليم]] - Table1[[#This Row],[ميعاد الطلب]])</f>
        <v>18</v>
      </c>
      <c r="O22">
        <f>IF(OR(ISBLANK(Table1[[#This Row],[ميعاد الطلب]]), ISBLANK(Table1[[#This Row],[تاريخ التسليم]])), 0, Table1[[#This Row],[تاريخ التسليم]] - Table1[[#This Row],[ميعاد الطلب]])</f>
        <v>20</v>
      </c>
      <c r="P22">
        <f>IF(Table1[[#This Row],[مدة التسليم (الهدف)]] &lt;=Table1[[#This Row],[مدة التسليم (الفعلي)]], 0,1)</f>
        <v>0</v>
      </c>
      <c r="Q22" s="15">
        <v>45536</v>
      </c>
      <c r="R22" s="15">
        <v>45554</v>
      </c>
      <c r="S22" s="15">
        <v>45556</v>
      </c>
      <c r="T22" t="s">
        <v>178</v>
      </c>
      <c r="U22" t="s">
        <v>177</v>
      </c>
    </row>
    <row r="23" spans="1:21" ht="20.100000000000001" customHeight="1" x14ac:dyDescent="0.3">
      <c r="A23" t="s">
        <v>27</v>
      </c>
      <c r="B23"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23"/>
      <c r="D23" t="s">
        <v>266</v>
      </c>
      <c r="E23" t="s">
        <v>48</v>
      </c>
      <c r="F23" t="s">
        <v>143</v>
      </c>
      <c r="G23" t="s">
        <v>155</v>
      </c>
      <c r="H23" t="s">
        <v>146</v>
      </c>
      <c r="I23">
        <v>100</v>
      </c>
      <c r="J23" t="s">
        <v>157</v>
      </c>
      <c r="K23" t="s">
        <v>49</v>
      </c>
      <c r="L23">
        <v>9208</v>
      </c>
      <c r="M23" t="s">
        <v>274</v>
      </c>
      <c r="N23">
        <f>IF(OR(ISBLANK(Table1[[#This Row],[ميعاد الطلب]]), ISBLANK(Table1[[#This Row],[ميعاد التسليم]])), 0, Table1[[#This Row],[ميعاد التسليم]] - Table1[[#This Row],[ميعاد الطلب]])</f>
        <v>18</v>
      </c>
      <c r="O23">
        <f>IF(OR(ISBLANK(Table1[[#This Row],[ميعاد الطلب]]), ISBLANK(Table1[[#This Row],[تاريخ التسليم]])), 0, Table1[[#This Row],[تاريخ التسليم]] - Table1[[#This Row],[ميعاد الطلب]])</f>
        <v>20</v>
      </c>
      <c r="P23">
        <f>IF(Table1[[#This Row],[مدة التسليم (الهدف)]] &lt;=Table1[[#This Row],[مدة التسليم (الفعلي)]], 0,1)</f>
        <v>0</v>
      </c>
      <c r="Q23" s="15">
        <v>45536</v>
      </c>
      <c r="R23" s="15">
        <v>45554</v>
      </c>
      <c r="S23" s="15">
        <v>45556</v>
      </c>
      <c r="T23" t="s">
        <v>178</v>
      </c>
      <c r="U23" t="s">
        <v>177</v>
      </c>
    </row>
    <row r="24" spans="1:21" ht="20.100000000000001" customHeight="1" x14ac:dyDescent="0.3">
      <c r="A24" t="s">
        <v>78</v>
      </c>
      <c r="B24"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24" t="s">
        <v>79</v>
      </c>
      <c r="D24" t="s">
        <v>272</v>
      </c>
      <c r="E24" t="s">
        <v>52</v>
      </c>
      <c r="F24" t="s">
        <v>143</v>
      </c>
      <c r="G24" t="s">
        <v>222</v>
      </c>
      <c r="H24" t="s">
        <v>166</v>
      </c>
      <c r="I24">
        <v>120</v>
      </c>
      <c r="J24" t="s">
        <v>156</v>
      </c>
      <c r="K24" t="s">
        <v>82</v>
      </c>
      <c r="L24">
        <v>4020</v>
      </c>
      <c r="M24" t="s">
        <v>80</v>
      </c>
      <c r="N24">
        <f>IF(OR(ISBLANK(Table1[[#This Row],[ميعاد الطلب]]), ISBLANK(Table1[[#This Row],[ميعاد التسليم]])), 0, Table1[[#This Row],[ميعاد التسليم]] - Table1[[#This Row],[ميعاد الطلب]])</f>
        <v>9</v>
      </c>
      <c r="O24">
        <f>IF(OR(ISBLANK(Table1[[#This Row],[ميعاد الطلب]]), ISBLANK(Table1[[#This Row],[تاريخ التسليم]])), 0, Table1[[#This Row],[تاريخ التسليم]] - Table1[[#This Row],[ميعاد الطلب]])</f>
        <v>10</v>
      </c>
      <c r="P24">
        <f>IF(Table1[[#This Row],[مدة التسليم (الهدف)]] &lt;=Table1[[#This Row],[مدة التسليم (الفعلي)]], 0,1)</f>
        <v>0</v>
      </c>
      <c r="Q24" s="15">
        <v>45547</v>
      </c>
      <c r="R24" s="15">
        <v>45556</v>
      </c>
      <c r="S24" s="15">
        <v>45557</v>
      </c>
      <c r="T24" t="s">
        <v>178</v>
      </c>
      <c r="U24" t="s">
        <v>177</v>
      </c>
    </row>
    <row r="25" spans="1:21" ht="20.100000000000001" customHeight="1" x14ac:dyDescent="0.3">
      <c r="A25" t="s">
        <v>78</v>
      </c>
      <c r="B25"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25" t="s">
        <v>79</v>
      </c>
      <c r="D25" t="s">
        <v>272</v>
      </c>
      <c r="E25" t="s">
        <v>52</v>
      </c>
      <c r="F25" t="s">
        <v>143</v>
      </c>
      <c r="G25" t="s">
        <v>222</v>
      </c>
      <c r="H25" t="s">
        <v>158</v>
      </c>
      <c r="I25">
        <v>120</v>
      </c>
      <c r="J25" t="s">
        <v>157</v>
      </c>
      <c r="K25" t="s">
        <v>81</v>
      </c>
      <c r="L25">
        <v>4020</v>
      </c>
      <c r="M25" t="s">
        <v>14</v>
      </c>
      <c r="N25">
        <f>IF(OR(ISBLANK(Table1[[#This Row],[ميعاد الطلب]]), ISBLANK(Table1[[#This Row],[ميعاد التسليم]])), 0, Table1[[#This Row],[ميعاد التسليم]] - Table1[[#This Row],[ميعاد الطلب]])</f>
        <v>9</v>
      </c>
      <c r="O25">
        <f>IF(OR(ISBLANK(Table1[[#This Row],[ميعاد الطلب]]), ISBLANK(Table1[[#This Row],[تاريخ التسليم]])), 0, Table1[[#This Row],[تاريخ التسليم]] - Table1[[#This Row],[ميعاد الطلب]])</f>
        <v>10</v>
      </c>
      <c r="P25">
        <f>IF(Table1[[#This Row],[مدة التسليم (الهدف)]] &lt;=Table1[[#This Row],[مدة التسليم (الفعلي)]], 0,1)</f>
        <v>0</v>
      </c>
      <c r="Q25" s="15">
        <v>45547</v>
      </c>
      <c r="R25" s="15">
        <v>45556</v>
      </c>
      <c r="S25" s="15">
        <v>45557</v>
      </c>
      <c r="T25" t="s">
        <v>178</v>
      </c>
      <c r="U25" t="s">
        <v>177</v>
      </c>
    </row>
    <row r="26" spans="1:21" ht="20.100000000000001" customHeight="1" x14ac:dyDescent="0.3">
      <c r="A26" t="s">
        <v>137</v>
      </c>
      <c r="B26"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26" t="s">
        <v>138</v>
      </c>
      <c r="D26" t="s">
        <v>270</v>
      </c>
      <c r="E26" t="s">
        <v>6</v>
      </c>
      <c r="F26" t="s">
        <v>143</v>
      </c>
      <c r="G26" t="s">
        <v>144</v>
      </c>
      <c r="H26" s="1" t="s">
        <v>266</v>
      </c>
      <c r="I26">
        <v>0</v>
      </c>
      <c r="J26" t="s">
        <v>157</v>
      </c>
      <c r="K26" t="s">
        <v>139</v>
      </c>
      <c r="L26">
        <v>9399</v>
      </c>
      <c r="M26" t="s">
        <v>14</v>
      </c>
      <c r="N26">
        <f>IF(OR(ISBLANK(Table1[[#This Row],[ميعاد الطلب]]), ISBLANK(Table1[[#This Row],[ميعاد التسليم]])), 0, Table1[[#This Row],[ميعاد التسليم]] - Table1[[#This Row],[ميعاد الطلب]])</f>
        <v>8</v>
      </c>
      <c r="O26">
        <f>IF(OR(ISBLANK(Table1[[#This Row],[ميعاد الطلب]]), ISBLANK(Table1[[#This Row],[تاريخ التسليم]])), 0, Table1[[#This Row],[تاريخ التسليم]] - Table1[[#This Row],[ميعاد الطلب]])</f>
        <v>0</v>
      </c>
      <c r="P26">
        <f>IF(Table1[[#This Row],[مدة التسليم (الهدف)]] &lt;=Table1[[#This Row],[مدة التسليم (الفعلي)]], 0,1)</f>
        <v>1</v>
      </c>
      <c r="Q26" s="15">
        <v>45549</v>
      </c>
      <c r="R26" s="15">
        <v>45557</v>
      </c>
      <c r="T26" t="s">
        <v>33</v>
      </c>
      <c r="U26" t="s">
        <v>175</v>
      </c>
    </row>
    <row r="27" spans="1:21" ht="20.100000000000001" customHeight="1" x14ac:dyDescent="0.3">
      <c r="A27" t="s">
        <v>140</v>
      </c>
      <c r="B27"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27" t="s">
        <v>141</v>
      </c>
      <c r="D27" t="s">
        <v>267</v>
      </c>
      <c r="E27" t="s">
        <v>6</v>
      </c>
      <c r="F27" t="s">
        <v>273</v>
      </c>
      <c r="G27" t="s">
        <v>173</v>
      </c>
      <c r="H27" s="1" t="s">
        <v>266</v>
      </c>
      <c r="I27">
        <v>0</v>
      </c>
      <c r="J27" t="s">
        <v>266</v>
      </c>
      <c r="K27" t="s">
        <v>142</v>
      </c>
      <c r="L27">
        <v>8349</v>
      </c>
      <c r="M27" t="s">
        <v>14</v>
      </c>
      <c r="N27">
        <f>IF(OR(ISBLANK(Table1[[#This Row],[ميعاد الطلب]]), ISBLANK(Table1[[#This Row],[ميعاد التسليم]])), 0, Table1[[#This Row],[ميعاد التسليم]] - Table1[[#This Row],[ميعاد الطلب]])</f>
        <v>8</v>
      </c>
      <c r="O27">
        <f>IF(OR(ISBLANK(Table1[[#This Row],[ميعاد الطلب]]), ISBLANK(Table1[[#This Row],[تاريخ التسليم]])), 0, Table1[[#This Row],[تاريخ التسليم]] - Table1[[#This Row],[ميعاد الطلب]])</f>
        <v>10</v>
      </c>
      <c r="P27">
        <f>IF(Table1[[#This Row],[مدة التسليم (الهدف)]] &lt;=Table1[[#This Row],[مدة التسليم (الفعلي)]], 0,1)</f>
        <v>0</v>
      </c>
      <c r="Q27" s="15">
        <v>45549</v>
      </c>
      <c r="R27" s="15">
        <v>45557</v>
      </c>
      <c r="S27" s="15">
        <v>45559</v>
      </c>
      <c r="T27" t="s">
        <v>24</v>
      </c>
      <c r="U27" t="s">
        <v>177</v>
      </c>
    </row>
    <row r="28" spans="1:21" ht="20.100000000000001" customHeight="1" x14ac:dyDescent="0.3">
      <c r="A28" t="s">
        <v>99</v>
      </c>
      <c r="B28"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28" t="s">
        <v>35</v>
      </c>
      <c r="D28" t="s">
        <v>265</v>
      </c>
      <c r="E28" t="s">
        <v>6</v>
      </c>
      <c r="F28" t="s">
        <v>143</v>
      </c>
      <c r="G28" t="s">
        <v>144</v>
      </c>
      <c r="H28" s="1" t="s">
        <v>266</v>
      </c>
      <c r="I28">
        <v>0</v>
      </c>
      <c r="J28" t="s">
        <v>157</v>
      </c>
      <c r="K28" t="s">
        <v>100</v>
      </c>
      <c r="L28">
        <v>9399</v>
      </c>
      <c r="M28" t="s">
        <v>14</v>
      </c>
      <c r="N28">
        <f>IF(OR(ISBLANK(Table1[[#This Row],[ميعاد الطلب]]), ISBLANK(Table1[[#This Row],[ميعاد التسليم]])), 0, Table1[[#This Row],[ميعاد التسليم]] - Table1[[#This Row],[ميعاد الطلب]])</f>
        <v>11</v>
      </c>
      <c r="O28">
        <f>IF(OR(ISBLANK(Table1[[#This Row],[ميعاد الطلب]]), ISBLANK(Table1[[#This Row],[تاريخ التسليم]])), 0, Table1[[#This Row],[تاريخ التسليم]] - Table1[[#This Row],[ميعاد الطلب]])</f>
        <v>18</v>
      </c>
      <c r="P28">
        <f>IF(Table1[[#This Row],[مدة التسليم (الهدف)]] &lt;=Table1[[#This Row],[مدة التسليم (الفعلي)]], 0,1)</f>
        <v>0</v>
      </c>
      <c r="Q28" s="15">
        <v>45548</v>
      </c>
      <c r="R28" s="15">
        <v>45559</v>
      </c>
      <c r="S28" s="15">
        <v>45566</v>
      </c>
      <c r="T28" t="s">
        <v>24</v>
      </c>
      <c r="U28" t="s">
        <v>177</v>
      </c>
    </row>
    <row r="29" spans="1:21" ht="20.100000000000001" customHeight="1" x14ac:dyDescent="0.3">
      <c r="A29" t="s">
        <v>67</v>
      </c>
      <c r="B29"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29" t="s">
        <v>68</v>
      </c>
      <c r="D29" t="s">
        <v>263</v>
      </c>
      <c r="E29" t="s">
        <v>6</v>
      </c>
      <c r="F29" t="s">
        <v>273</v>
      </c>
      <c r="G29" t="s">
        <v>234</v>
      </c>
      <c r="H29" s="1" t="s">
        <v>266</v>
      </c>
      <c r="I29">
        <v>0</v>
      </c>
      <c r="J29" t="s">
        <v>266</v>
      </c>
      <c r="K29" t="s">
        <v>59</v>
      </c>
      <c r="L29">
        <v>7849</v>
      </c>
      <c r="M29" t="s">
        <v>274</v>
      </c>
      <c r="N29">
        <f>IF(OR(ISBLANK(Table1[[#This Row],[ميعاد الطلب]]), ISBLANK(Table1[[#This Row],[ميعاد التسليم]])), 0, Table1[[#This Row],[ميعاد التسليم]] - Table1[[#This Row],[ميعاد الطلب]])</f>
        <v>14</v>
      </c>
      <c r="O29">
        <f>IF(OR(ISBLANK(Table1[[#This Row],[ميعاد الطلب]]), ISBLANK(Table1[[#This Row],[تاريخ التسليم]])), 0, Table1[[#This Row],[تاريخ التسليم]] - Table1[[#This Row],[ميعاد الطلب]])</f>
        <v>0</v>
      </c>
      <c r="P29">
        <f>IF(Table1[[#This Row],[مدة التسليم (الهدف)]] &lt;=Table1[[#This Row],[مدة التسليم (الفعلي)]], 0,1)</f>
        <v>1</v>
      </c>
      <c r="Q29" s="15">
        <v>45547</v>
      </c>
      <c r="R29" s="15">
        <v>45561</v>
      </c>
      <c r="T29" t="s">
        <v>24</v>
      </c>
      <c r="U29" t="s">
        <v>177</v>
      </c>
    </row>
    <row r="30" spans="1:21" ht="20.100000000000001" customHeight="1" x14ac:dyDescent="0.3">
      <c r="A30" t="s">
        <v>75</v>
      </c>
      <c r="B30"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30" t="s">
        <v>76</v>
      </c>
      <c r="D30" t="s">
        <v>265</v>
      </c>
      <c r="E30" t="s">
        <v>31</v>
      </c>
      <c r="F30" t="s">
        <v>143</v>
      </c>
      <c r="G30" t="s">
        <v>160</v>
      </c>
      <c r="H30" t="s">
        <v>147</v>
      </c>
      <c r="I30">
        <v>100</v>
      </c>
      <c r="J30" t="s">
        <v>157</v>
      </c>
      <c r="K30" t="s">
        <v>77</v>
      </c>
      <c r="L30">
        <v>9450</v>
      </c>
      <c r="M30" t="s">
        <v>274</v>
      </c>
      <c r="N30">
        <f>IF(OR(ISBLANK(Table1[[#This Row],[ميعاد الطلب]]), ISBLANK(Table1[[#This Row],[ميعاد التسليم]])), 0, Table1[[#This Row],[ميعاد التسليم]] - Table1[[#This Row],[ميعاد الطلب]])</f>
        <v>14</v>
      </c>
      <c r="O30">
        <f>IF(OR(ISBLANK(Table1[[#This Row],[ميعاد الطلب]]), ISBLANK(Table1[[#This Row],[تاريخ التسليم]])), 0, Table1[[#This Row],[تاريخ التسليم]] - Table1[[#This Row],[ميعاد الطلب]])</f>
        <v>0</v>
      </c>
      <c r="P30">
        <f>IF(Table1[[#This Row],[مدة التسليم (الهدف)]] &lt;=Table1[[#This Row],[مدة التسليم (الفعلي)]], 0,1)</f>
        <v>1</v>
      </c>
      <c r="Q30" s="15">
        <v>45547</v>
      </c>
      <c r="R30" s="15">
        <v>45561</v>
      </c>
      <c r="T30"/>
      <c r="U30" t="s">
        <v>175</v>
      </c>
    </row>
    <row r="31" spans="1:21" ht="20.100000000000001" customHeight="1" x14ac:dyDescent="0.3">
      <c r="A31" t="s">
        <v>90</v>
      </c>
      <c r="B31"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31" t="s">
        <v>63</v>
      </c>
      <c r="D31" t="s">
        <v>263</v>
      </c>
      <c r="E31" t="s">
        <v>6</v>
      </c>
      <c r="F31" t="s">
        <v>143</v>
      </c>
      <c r="G31" t="s">
        <v>222</v>
      </c>
      <c r="H31" t="s">
        <v>148</v>
      </c>
      <c r="I31">
        <v>120</v>
      </c>
      <c r="J31" t="s">
        <v>157</v>
      </c>
      <c r="K31" t="s">
        <v>91</v>
      </c>
      <c r="L31">
        <v>7460</v>
      </c>
      <c r="M31" t="s">
        <v>14</v>
      </c>
      <c r="N31">
        <f>IF(OR(ISBLANK(Table1[[#This Row],[ميعاد الطلب]]), ISBLANK(Table1[[#This Row],[ميعاد التسليم]])), 0, Table1[[#This Row],[ميعاد التسليم]] - Table1[[#This Row],[ميعاد الطلب]])</f>
        <v>13</v>
      </c>
      <c r="O31">
        <f>IF(OR(ISBLANK(Table1[[#This Row],[ميعاد الطلب]]), ISBLANK(Table1[[#This Row],[تاريخ التسليم]])), 0, Table1[[#This Row],[تاريخ التسليم]] - Table1[[#This Row],[ميعاد الطلب]])</f>
        <v>20</v>
      </c>
      <c r="P31">
        <f>IF(Table1[[#This Row],[مدة التسليم (الهدف)]] &lt;=Table1[[#This Row],[مدة التسليم (الفعلي)]], 0,1)</f>
        <v>0</v>
      </c>
      <c r="Q31" s="15">
        <v>45548</v>
      </c>
      <c r="R31" s="15">
        <v>45561</v>
      </c>
      <c r="S31" s="15">
        <v>45568</v>
      </c>
      <c r="T31" t="s">
        <v>178</v>
      </c>
      <c r="U31" t="s">
        <v>177</v>
      </c>
    </row>
    <row r="32" spans="1:21" ht="20.100000000000001" customHeight="1" x14ac:dyDescent="0.3">
      <c r="A32" t="s">
        <v>94</v>
      </c>
      <c r="B32"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32" t="s">
        <v>63</v>
      </c>
      <c r="D32" t="s">
        <v>263</v>
      </c>
      <c r="E32" t="s">
        <v>6</v>
      </c>
      <c r="F32" t="s">
        <v>143</v>
      </c>
      <c r="G32" t="s">
        <v>222</v>
      </c>
      <c r="H32" t="s">
        <v>167</v>
      </c>
      <c r="I32">
        <v>140</v>
      </c>
      <c r="J32" t="s">
        <v>165</v>
      </c>
      <c r="K32" t="s">
        <v>95</v>
      </c>
      <c r="L32">
        <v>9528</v>
      </c>
      <c r="M32" t="s">
        <v>14</v>
      </c>
      <c r="N32">
        <f>IF(OR(ISBLANK(Table1[[#This Row],[ميعاد الطلب]]), ISBLANK(Table1[[#This Row],[ميعاد التسليم]])), 0, Table1[[#This Row],[ميعاد التسليم]] - Table1[[#This Row],[ميعاد الطلب]])</f>
        <v>13</v>
      </c>
      <c r="O32">
        <f>IF(OR(ISBLANK(Table1[[#This Row],[ميعاد الطلب]]), ISBLANK(Table1[[#This Row],[تاريخ التسليم]])), 0, Table1[[#This Row],[تاريخ التسليم]] - Table1[[#This Row],[ميعاد الطلب]])</f>
        <v>20</v>
      </c>
      <c r="P32">
        <f>IF(Table1[[#This Row],[مدة التسليم (الهدف)]] &lt;=Table1[[#This Row],[مدة التسليم (الفعلي)]], 0,1)</f>
        <v>0</v>
      </c>
      <c r="Q32" s="15">
        <v>45548</v>
      </c>
      <c r="R32" s="15">
        <v>45561</v>
      </c>
      <c r="S32" s="15">
        <v>45568</v>
      </c>
      <c r="T32" t="s">
        <v>178</v>
      </c>
      <c r="U32" t="s">
        <v>177</v>
      </c>
    </row>
    <row r="33" spans="1:21" ht="20.100000000000001" customHeight="1" x14ac:dyDescent="0.3">
      <c r="A33" t="s">
        <v>135</v>
      </c>
      <c r="B33"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33" t="s">
        <v>35</v>
      </c>
      <c r="D33" t="s">
        <v>265</v>
      </c>
      <c r="E33" t="s">
        <v>6</v>
      </c>
      <c r="F33" t="s">
        <v>143</v>
      </c>
      <c r="G33" t="s">
        <v>155</v>
      </c>
      <c r="H33" t="s">
        <v>147</v>
      </c>
      <c r="I33">
        <v>120</v>
      </c>
      <c r="J33" t="s">
        <v>161</v>
      </c>
      <c r="K33" t="s">
        <v>136</v>
      </c>
      <c r="L33">
        <v>12999</v>
      </c>
      <c r="M33" t="s">
        <v>14</v>
      </c>
      <c r="N33">
        <f>IF(OR(ISBLANK(Table1[[#This Row],[ميعاد الطلب]]), ISBLANK(Table1[[#This Row],[ميعاد التسليم]])), 0, Table1[[#This Row],[ميعاد التسليم]] - Table1[[#This Row],[ميعاد الطلب]])</f>
        <v>13</v>
      </c>
      <c r="O33">
        <f>IF(OR(ISBLANK(Table1[[#This Row],[ميعاد الطلب]]), ISBLANK(Table1[[#This Row],[تاريخ التسليم]])), 0, Table1[[#This Row],[تاريخ التسليم]] - Table1[[#This Row],[ميعاد الطلب]])</f>
        <v>18</v>
      </c>
      <c r="P33">
        <f>IF(Table1[[#This Row],[مدة التسليم (الهدف)]] &lt;=Table1[[#This Row],[مدة التسليم (الفعلي)]], 0,1)</f>
        <v>0</v>
      </c>
      <c r="Q33" s="15">
        <v>45549</v>
      </c>
      <c r="R33" s="15">
        <v>45562</v>
      </c>
      <c r="S33" s="15">
        <v>45567</v>
      </c>
      <c r="T33" t="s">
        <v>178</v>
      </c>
      <c r="U33" t="s">
        <v>177</v>
      </c>
    </row>
    <row r="34" spans="1:21" ht="20.100000000000001" customHeight="1" x14ac:dyDescent="0.3">
      <c r="A34" t="s">
        <v>69</v>
      </c>
      <c r="B34"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34" t="s">
        <v>70</v>
      </c>
      <c r="D34" t="s">
        <v>263</v>
      </c>
      <c r="E34" t="s">
        <v>6</v>
      </c>
      <c r="F34" t="s">
        <v>143</v>
      </c>
      <c r="G34" t="s">
        <v>155</v>
      </c>
      <c r="H34" t="s">
        <v>145</v>
      </c>
      <c r="I34">
        <v>90</v>
      </c>
      <c r="J34" t="s">
        <v>157</v>
      </c>
      <c r="K34" t="s">
        <v>73</v>
      </c>
      <c r="L34">
        <v>5999</v>
      </c>
      <c r="M34" t="s">
        <v>14</v>
      </c>
      <c r="N34">
        <f>IF(OR(ISBLANK(Table1[[#This Row],[ميعاد الطلب]]), ISBLANK(Table1[[#This Row],[ميعاد التسليم]])), 0, Table1[[#This Row],[ميعاد التسليم]] - Table1[[#This Row],[ميعاد الطلب]])</f>
        <v>17</v>
      </c>
      <c r="O34">
        <f>IF(OR(ISBLANK(Table1[[#This Row],[ميعاد الطلب]]), ISBLANK(Table1[[#This Row],[تاريخ التسليم]])), 0, Table1[[#This Row],[تاريخ التسليم]] - Table1[[#This Row],[ميعاد الطلب]])</f>
        <v>0</v>
      </c>
      <c r="P34">
        <f>IF(Table1[[#This Row],[مدة التسليم (الهدف)]] &lt;=Table1[[#This Row],[مدة التسليم (الفعلي)]], 0,1)</f>
        <v>1</v>
      </c>
      <c r="Q34" s="15">
        <v>45547</v>
      </c>
      <c r="R34" s="15">
        <v>45564</v>
      </c>
      <c r="T34"/>
      <c r="U34" t="s">
        <v>175</v>
      </c>
    </row>
    <row r="35" spans="1:21" ht="20.100000000000001" customHeight="1" x14ac:dyDescent="0.3">
      <c r="A35" t="s">
        <v>71</v>
      </c>
      <c r="B35"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35" t="s">
        <v>72</v>
      </c>
      <c r="D35" t="s">
        <v>265</v>
      </c>
      <c r="E35" t="s">
        <v>6</v>
      </c>
      <c r="F35" t="s">
        <v>143</v>
      </c>
      <c r="G35" t="s">
        <v>155</v>
      </c>
      <c r="H35" t="s">
        <v>147</v>
      </c>
      <c r="I35">
        <v>100</v>
      </c>
      <c r="J35" t="s">
        <v>157</v>
      </c>
      <c r="K35" t="s">
        <v>74</v>
      </c>
      <c r="L35">
        <v>11949</v>
      </c>
      <c r="M35" t="s">
        <v>274</v>
      </c>
      <c r="N35">
        <f>IF(OR(ISBLANK(Table1[[#This Row],[ميعاد الطلب]]), ISBLANK(Table1[[#This Row],[ميعاد التسليم]])), 0, Table1[[#This Row],[ميعاد التسليم]] - Table1[[#This Row],[ميعاد الطلب]])</f>
        <v>17</v>
      </c>
      <c r="O35">
        <f>IF(OR(ISBLANK(Table1[[#This Row],[ميعاد الطلب]]), ISBLANK(Table1[[#This Row],[تاريخ التسليم]])), 0, Table1[[#This Row],[تاريخ التسليم]] - Table1[[#This Row],[ميعاد الطلب]])</f>
        <v>20</v>
      </c>
      <c r="P35">
        <f>IF(Table1[[#This Row],[مدة التسليم (الهدف)]] &lt;=Table1[[#This Row],[مدة التسليم (الفعلي)]], 0,1)</f>
        <v>0</v>
      </c>
      <c r="Q35" s="15">
        <v>45547</v>
      </c>
      <c r="R35" s="15">
        <v>45564</v>
      </c>
      <c r="S35" s="15">
        <v>45567</v>
      </c>
      <c r="T35" t="s">
        <v>178</v>
      </c>
      <c r="U35" t="s">
        <v>177</v>
      </c>
    </row>
    <row r="36" spans="1:21" ht="20.100000000000001" customHeight="1" x14ac:dyDescent="0.3">
      <c r="A36" t="s">
        <v>29</v>
      </c>
      <c r="B36"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36" t="s">
        <v>83</v>
      </c>
      <c r="D36" t="s">
        <v>263</v>
      </c>
      <c r="E36" t="s">
        <v>6</v>
      </c>
      <c r="F36" t="s">
        <v>143</v>
      </c>
      <c r="G36" t="s">
        <v>160</v>
      </c>
      <c r="H36" t="s">
        <v>147</v>
      </c>
      <c r="I36">
        <v>80</v>
      </c>
      <c r="J36" t="s">
        <v>156</v>
      </c>
      <c r="K36" t="s">
        <v>86</v>
      </c>
      <c r="L36">
        <v>16599</v>
      </c>
      <c r="M36" t="s">
        <v>14</v>
      </c>
      <c r="N36">
        <f>IF(OR(ISBLANK(Table1[[#This Row],[ميعاد الطلب]]), ISBLANK(Table1[[#This Row],[ميعاد التسليم]])), 0, Table1[[#This Row],[ميعاد التسليم]] - Table1[[#This Row],[ميعاد الطلب]])</f>
        <v>17</v>
      </c>
      <c r="O36">
        <f>IF(OR(ISBLANK(Table1[[#This Row],[ميعاد الطلب]]), ISBLANK(Table1[[#This Row],[تاريخ التسليم]])), 0, Table1[[#This Row],[تاريخ التسليم]] - Table1[[#This Row],[ميعاد الطلب]])</f>
        <v>20</v>
      </c>
      <c r="P36">
        <f>IF(Table1[[#This Row],[مدة التسليم (الهدف)]] &lt;=Table1[[#This Row],[مدة التسليم (الفعلي)]], 0,1)</f>
        <v>0</v>
      </c>
      <c r="Q36" s="15">
        <v>45548</v>
      </c>
      <c r="R36" s="15">
        <v>45565</v>
      </c>
      <c r="S36" s="15">
        <v>45568</v>
      </c>
      <c r="T36" t="s">
        <v>178</v>
      </c>
      <c r="U36" t="s">
        <v>177</v>
      </c>
    </row>
    <row r="37" spans="1:21" ht="20.100000000000001" customHeight="1" x14ac:dyDescent="0.3">
      <c r="A37" t="s">
        <v>84</v>
      </c>
      <c r="B37"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37" t="s">
        <v>22</v>
      </c>
      <c r="D37" t="s">
        <v>269</v>
      </c>
      <c r="E37" t="s">
        <v>6</v>
      </c>
      <c r="F37" t="s">
        <v>143</v>
      </c>
      <c r="G37" t="s">
        <v>155</v>
      </c>
      <c r="H37" t="s">
        <v>147</v>
      </c>
      <c r="I37">
        <v>80</v>
      </c>
      <c r="J37" t="s">
        <v>156</v>
      </c>
      <c r="K37" t="s">
        <v>292</v>
      </c>
      <c r="L37">
        <v>10999</v>
      </c>
      <c r="M37" t="s">
        <v>14</v>
      </c>
      <c r="N37">
        <f>IF(OR(ISBLANK(Table1[[#This Row],[ميعاد الطلب]]), ISBLANK(Table1[[#This Row],[ميعاد التسليم]])), 0, Table1[[#This Row],[ميعاد التسليم]] - Table1[[#This Row],[ميعاد الطلب]])</f>
        <v>17</v>
      </c>
      <c r="O37">
        <f>IF(OR(ISBLANK(Table1[[#This Row],[ميعاد الطلب]]), ISBLANK(Table1[[#This Row],[تاريخ التسليم]])), 0, Table1[[#This Row],[تاريخ التسليم]] - Table1[[#This Row],[ميعاد الطلب]])</f>
        <v>33</v>
      </c>
      <c r="P37">
        <f>IF(Table1[[#This Row],[مدة التسليم (الهدف)]] &lt;=Table1[[#This Row],[مدة التسليم (الفعلي)]], 0,1)</f>
        <v>0</v>
      </c>
      <c r="Q37" s="15">
        <v>45548</v>
      </c>
      <c r="R37" s="15">
        <v>45565</v>
      </c>
      <c r="S37" s="15">
        <v>45581</v>
      </c>
      <c r="T37" t="s">
        <v>24</v>
      </c>
      <c r="U37" t="s">
        <v>177</v>
      </c>
    </row>
    <row r="38" spans="1:21" ht="20.100000000000001" customHeight="1" x14ac:dyDescent="0.3">
      <c r="A38" t="s">
        <v>87</v>
      </c>
      <c r="B38"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38" t="s">
        <v>88</v>
      </c>
      <c r="D38" t="s">
        <v>270</v>
      </c>
      <c r="E38" t="s">
        <v>6</v>
      </c>
      <c r="F38" t="s">
        <v>143</v>
      </c>
      <c r="G38" t="s">
        <v>155</v>
      </c>
      <c r="H38" t="s">
        <v>147</v>
      </c>
      <c r="I38">
        <v>140</v>
      </c>
      <c r="J38" t="s">
        <v>159</v>
      </c>
      <c r="K38" t="s">
        <v>89</v>
      </c>
      <c r="L38">
        <v>13099</v>
      </c>
      <c r="M38" t="s">
        <v>14</v>
      </c>
      <c r="N38">
        <f>IF(OR(ISBLANK(Table1[[#This Row],[ميعاد الطلب]]), ISBLANK(Table1[[#This Row],[ميعاد التسليم]])), 0, Table1[[#This Row],[ميعاد التسليم]] - Table1[[#This Row],[ميعاد الطلب]])</f>
        <v>17</v>
      </c>
      <c r="O38">
        <f>IF(OR(ISBLANK(Table1[[#This Row],[ميعاد الطلب]]), ISBLANK(Table1[[#This Row],[تاريخ التسليم]])), 0, Table1[[#This Row],[تاريخ التسليم]] - Table1[[#This Row],[ميعاد الطلب]])</f>
        <v>20</v>
      </c>
      <c r="P38">
        <f>IF(Table1[[#This Row],[مدة التسليم (الهدف)]] &lt;=Table1[[#This Row],[مدة التسليم (الفعلي)]], 0,1)</f>
        <v>0</v>
      </c>
      <c r="Q38" s="15">
        <v>45548</v>
      </c>
      <c r="R38" s="15">
        <v>45565</v>
      </c>
      <c r="S38" s="15">
        <v>45568</v>
      </c>
      <c r="T38" t="s">
        <v>24</v>
      </c>
      <c r="U38" t="s">
        <v>177</v>
      </c>
    </row>
    <row r="39" spans="1:21" ht="20.100000000000001" customHeight="1" x14ac:dyDescent="0.3">
      <c r="A39" t="s">
        <v>92</v>
      </c>
      <c r="B39"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39" t="s">
        <v>35</v>
      </c>
      <c r="D39" t="s">
        <v>265</v>
      </c>
      <c r="E39" t="s">
        <v>6</v>
      </c>
      <c r="F39" t="s">
        <v>143</v>
      </c>
      <c r="G39" t="s">
        <v>155</v>
      </c>
      <c r="H39" t="s">
        <v>146</v>
      </c>
      <c r="I39">
        <v>120</v>
      </c>
      <c r="J39" t="s">
        <v>162</v>
      </c>
      <c r="K39" t="s">
        <v>93</v>
      </c>
      <c r="L39">
        <v>13849</v>
      </c>
      <c r="M39" t="s">
        <v>14</v>
      </c>
      <c r="N39">
        <f>IF(OR(ISBLANK(Table1[[#This Row],[ميعاد الطلب]]), ISBLANK(Table1[[#This Row],[ميعاد التسليم]])), 0, Table1[[#This Row],[ميعاد التسليم]] - Table1[[#This Row],[ميعاد الطلب]])</f>
        <v>17</v>
      </c>
      <c r="O39">
        <f>IF(OR(ISBLANK(Table1[[#This Row],[ميعاد الطلب]]), ISBLANK(Table1[[#This Row],[تاريخ التسليم]])), 0, Table1[[#This Row],[تاريخ التسليم]] - Table1[[#This Row],[ميعاد الطلب]])</f>
        <v>37</v>
      </c>
      <c r="P39">
        <f>IF(Table1[[#This Row],[مدة التسليم (الهدف)]] &lt;=Table1[[#This Row],[مدة التسليم (الفعلي)]], 0,1)</f>
        <v>0</v>
      </c>
      <c r="Q39" s="15">
        <v>45548</v>
      </c>
      <c r="R39" s="15">
        <v>45565</v>
      </c>
      <c r="S39" s="15">
        <v>45585</v>
      </c>
      <c r="T39" t="s">
        <v>178</v>
      </c>
      <c r="U39" t="s">
        <v>177</v>
      </c>
    </row>
    <row r="40" spans="1:21" ht="20.100000000000001" customHeight="1" x14ac:dyDescent="0.3">
      <c r="A40" t="s">
        <v>96</v>
      </c>
      <c r="B40"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40" t="s">
        <v>97</v>
      </c>
      <c r="D40" t="s">
        <v>263</v>
      </c>
      <c r="E40" t="s">
        <v>6</v>
      </c>
      <c r="F40" t="s">
        <v>152</v>
      </c>
      <c r="G40" t="s">
        <v>154</v>
      </c>
      <c r="H40" s="1" t="s">
        <v>266</v>
      </c>
      <c r="I40">
        <v>0</v>
      </c>
      <c r="J40" t="s">
        <v>157</v>
      </c>
      <c r="K40" t="s">
        <v>98</v>
      </c>
      <c r="L40">
        <v>21999</v>
      </c>
      <c r="M40" t="s">
        <v>14</v>
      </c>
      <c r="N40">
        <f>IF(OR(ISBLANK(Table1[[#This Row],[ميعاد الطلب]]), ISBLANK(Table1[[#This Row],[ميعاد التسليم]])), 0, Table1[[#This Row],[ميعاد التسليم]] - Table1[[#This Row],[ميعاد الطلب]])</f>
        <v>17</v>
      </c>
      <c r="O40">
        <f>IF(OR(ISBLANK(Table1[[#This Row],[ميعاد الطلب]]), ISBLANK(Table1[[#This Row],[تاريخ التسليم]])), 0, Table1[[#This Row],[تاريخ التسليم]] - Table1[[#This Row],[ميعاد الطلب]])</f>
        <v>0</v>
      </c>
      <c r="P40">
        <f>IF(Table1[[#This Row],[مدة التسليم (الهدف)]] &lt;=Table1[[#This Row],[مدة التسليم (الفعلي)]], 0,1)</f>
        <v>1</v>
      </c>
      <c r="Q40" s="15">
        <v>45548</v>
      </c>
      <c r="R40" s="15">
        <v>45565</v>
      </c>
      <c r="U40" t="s">
        <v>177</v>
      </c>
    </row>
    <row r="41" spans="1:21" ht="20.100000000000001" customHeight="1" x14ac:dyDescent="0.3">
      <c r="A41" t="s">
        <v>103</v>
      </c>
      <c r="B41"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41" t="s">
        <v>35</v>
      </c>
      <c r="D41" t="s">
        <v>265</v>
      </c>
      <c r="E41" t="s">
        <v>6</v>
      </c>
      <c r="F41" t="s">
        <v>143</v>
      </c>
      <c r="G41" t="s">
        <v>155</v>
      </c>
      <c r="H41" t="s">
        <v>147</v>
      </c>
      <c r="I41">
        <v>80</v>
      </c>
      <c r="J41" t="s">
        <v>156</v>
      </c>
      <c r="K41" t="s">
        <v>292</v>
      </c>
      <c r="L41">
        <v>10999</v>
      </c>
      <c r="M41" t="s">
        <v>14</v>
      </c>
      <c r="N41">
        <f>IF(OR(ISBLANK(Table1[[#This Row],[ميعاد الطلب]]), ISBLANK(Table1[[#This Row],[ميعاد التسليم]])), 0, Table1[[#This Row],[ميعاد التسليم]] - Table1[[#This Row],[ميعاد الطلب]])</f>
        <v>17</v>
      </c>
      <c r="O41">
        <f>IF(OR(ISBLANK(Table1[[#This Row],[ميعاد الطلب]]), ISBLANK(Table1[[#This Row],[تاريخ التسليم]])), 0, Table1[[#This Row],[تاريخ التسليم]] - Table1[[#This Row],[ميعاد الطلب]])</f>
        <v>32</v>
      </c>
      <c r="P41">
        <f>IF(Table1[[#This Row],[مدة التسليم (الهدف)]] &lt;=Table1[[#This Row],[مدة التسليم (الفعلي)]], 0,1)</f>
        <v>0</v>
      </c>
      <c r="Q41" s="15">
        <v>45548</v>
      </c>
      <c r="R41" s="15">
        <v>45565</v>
      </c>
      <c r="S41" s="15">
        <v>45580</v>
      </c>
      <c r="T41" t="s">
        <v>178</v>
      </c>
      <c r="U41" t="s">
        <v>177</v>
      </c>
    </row>
    <row r="42" spans="1:21" ht="20.100000000000001" customHeight="1" x14ac:dyDescent="0.3">
      <c r="A42" t="s">
        <v>105</v>
      </c>
      <c r="B42"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42" t="s">
        <v>102</v>
      </c>
      <c r="D42" t="s">
        <v>263</v>
      </c>
      <c r="E42" t="s">
        <v>6</v>
      </c>
      <c r="F42" t="s">
        <v>143</v>
      </c>
      <c r="G42" t="s">
        <v>160</v>
      </c>
      <c r="H42" t="s">
        <v>147</v>
      </c>
      <c r="I42">
        <v>90</v>
      </c>
      <c r="J42" t="s">
        <v>157</v>
      </c>
      <c r="K42" t="s">
        <v>106</v>
      </c>
      <c r="L42">
        <v>17249</v>
      </c>
      <c r="M42" t="s">
        <v>14</v>
      </c>
      <c r="N42">
        <f>IF(OR(ISBLANK(Table1[[#This Row],[ميعاد الطلب]]), ISBLANK(Table1[[#This Row],[ميعاد التسليم]])), 0, Table1[[#This Row],[ميعاد التسليم]] - Table1[[#This Row],[ميعاد الطلب]])</f>
        <v>17</v>
      </c>
      <c r="O42">
        <f>IF(OR(ISBLANK(Table1[[#This Row],[ميعاد الطلب]]), ISBLANK(Table1[[#This Row],[تاريخ التسليم]])), 0, Table1[[#This Row],[تاريخ التسليم]] - Table1[[#This Row],[ميعاد الطلب]])</f>
        <v>21</v>
      </c>
      <c r="P42">
        <f>IF(Table1[[#This Row],[مدة التسليم (الهدف)]] &lt;=Table1[[#This Row],[مدة التسليم (الفعلي)]], 0,1)</f>
        <v>0</v>
      </c>
      <c r="Q42" s="15">
        <v>45548</v>
      </c>
      <c r="R42" s="15">
        <v>45565</v>
      </c>
      <c r="S42" s="15">
        <v>45569</v>
      </c>
      <c r="T42" t="s">
        <v>178</v>
      </c>
      <c r="U42" t="s">
        <v>177</v>
      </c>
    </row>
    <row r="43" spans="1:21" ht="20.100000000000001" customHeight="1" x14ac:dyDescent="0.3">
      <c r="A43" t="s">
        <v>132</v>
      </c>
      <c r="B43"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43" t="s">
        <v>133</v>
      </c>
      <c r="D43" t="s">
        <v>265</v>
      </c>
      <c r="E43" t="s">
        <v>6</v>
      </c>
      <c r="F43" t="s">
        <v>273</v>
      </c>
      <c r="G43" t="s">
        <v>234</v>
      </c>
      <c r="H43" s="1" t="s">
        <v>266</v>
      </c>
      <c r="I43">
        <v>0</v>
      </c>
      <c r="J43" t="s">
        <v>266</v>
      </c>
      <c r="K43" t="s">
        <v>134</v>
      </c>
      <c r="L43">
        <v>8349</v>
      </c>
      <c r="M43" t="s">
        <v>14</v>
      </c>
      <c r="N43">
        <f>IF(OR(ISBLANK(Table1[[#This Row],[ميعاد الطلب]]), ISBLANK(Table1[[#This Row],[ميعاد التسليم]])), 0, Table1[[#This Row],[ميعاد التسليم]] - Table1[[#This Row],[ميعاد الطلب]])</f>
        <v>32</v>
      </c>
      <c r="O43">
        <f>IF(OR(ISBLANK(Table1[[#This Row],[ميعاد الطلب]]), ISBLANK(Table1[[#This Row],[تاريخ التسليم]])), 0, Table1[[#This Row],[تاريخ التسليم]] - Table1[[#This Row],[ميعاد الطلب]])</f>
        <v>37</v>
      </c>
      <c r="P43">
        <f>IF(Table1[[#This Row],[مدة التسليم (الهدف)]] &lt;=Table1[[#This Row],[مدة التسليم (الفعلي)]], 0,1)</f>
        <v>0</v>
      </c>
      <c r="Q43" s="15">
        <v>45549</v>
      </c>
      <c r="R43" s="15">
        <v>45581</v>
      </c>
      <c r="S43" s="15">
        <v>45586</v>
      </c>
      <c r="T43" t="s">
        <v>178</v>
      </c>
      <c r="U43" t="s">
        <v>177</v>
      </c>
    </row>
    <row r="44" spans="1:21" ht="20.100000000000001" customHeight="1" x14ac:dyDescent="0.3">
      <c r="A44" t="s">
        <v>112</v>
      </c>
      <c r="B44"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44" t="s">
        <v>58</v>
      </c>
      <c r="D44" t="s">
        <v>263</v>
      </c>
      <c r="E44" t="s">
        <v>6</v>
      </c>
      <c r="F44" t="s">
        <v>273</v>
      </c>
      <c r="G44" t="s">
        <v>172</v>
      </c>
      <c r="H44" s="1" t="s">
        <v>266</v>
      </c>
      <c r="I44">
        <v>0</v>
      </c>
      <c r="J44" t="s">
        <v>266</v>
      </c>
      <c r="K44" t="s">
        <v>23</v>
      </c>
      <c r="L44">
        <v>7849</v>
      </c>
      <c r="M44" t="s">
        <v>14</v>
      </c>
      <c r="N44">
        <f>IF(OR(ISBLANK(Table1[[#This Row],[ميعاد الطلب]]), ISBLANK(Table1[[#This Row],[ميعاد التسليم]])), 0, Table1[[#This Row],[ميعاد التسليم]] - Table1[[#This Row],[ميعاد الطلب]])</f>
        <v>45</v>
      </c>
      <c r="O44">
        <f>IF(OR(ISBLANK(Table1[[#This Row],[ميعاد الطلب]]), ISBLANK(Table1[[#This Row],[تاريخ التسليم]])), 0, Table1[[#This Row],[تاريخ التسليم]] - Table1[[#This Row],[ميعاد الطلب]])</f>
        <v>46</v>
      </c>
      <c r="P44">
        <f>IF(Table1[[#This Row],[مدة التسليم (الهدف)]] &lt;=Table1[[#This Row],[مدة التسليم (الفعلي)]], 0,1)</f>
        <v>0</v>
      </c>
      <c r="Q44" s="15">
        <v>45549</v>
      </c>
      <c r="R44" s="15">
        <v>45594</v>
      </c>
      <c r="S44" s="15">
        <v>45595</v>
      </c>
      <c r="T44" t="s">
        <v>178</v>
      </c>
      <c r="U44" t="s">
        <v>177</v>
      </c>
    </row>
    <row r="45" spans="1:21" ht="20.100000000000001" customHeight="1" x14ac:dyDescent="0.3">
      <c r="A45" t="s">
        <v>113</v>
      </c>
      <c r="B45"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45" t="s">
        <v>35</v>
      </c>
      <c r="D45" t="s">
        <v>265</v>
      </c>
      <c r="E45" t="s">
        <v>6</v>
      </c>
      <c r="F45" t="s">
        <v>143</v>
      </c>
      <c r="G45" t="s">
        <v>144</v>
      </c>
      <c r="H45" s="1" t="s">
        <v>266</v>
      </c>
      <c r="I45">
        <v>0</v>
      </c>
      <c r="J45" t="s">
        <v>157</v>
      </c>
      <c r="K45" t="s">
        <v>114</v>
      </c>
      <c r="L45">
        <v>9399</v>
      </c>
      <c r="M45" t="s">
        <v>14</v>
      </c>
      <c r="N45">
        <f>IF(OR(ISBLANK(Table1[[#This Row],[ميعاد الطلب]]), ISBLANK(Table1[[#This Row],[ميعاد التسليم]])), 0, Table1[[#This Row],[ميعاد التسليم]] - Table1[[#This Row],[ميعاد الطلب]])</f>
        <v>45</v>
      </c>
      <c r="O45">
        <f>IF(OR(ISBLANK(Table1[[#This Row],[ميعاد الطلب]]), ISBLANK(Table1[[#This Row],[تاريخ التسليم]])), 0, Table1[[#This Row],[تاريخ التسليم]] - Table1[[#This Row],[ميعاد الطلب]])</f>
        <v>31</v>
      </c>
      <c r="P45">
        <f>IF(Table1[[#This Row],[مدة التسليم (الهدف)]] &lt;=Table1[[#This Row],[مدة التسليم (الفعلي)]], 0,1)</f>
        <v>1</v>
      </c>
      <c r="Q45" s="15">
        <v>45549</v>
      </c>
      <c r="R45" s="15">
        <v>45594</v>
      </c>
      <c r="S45" s="15">
        <v>45580</v>
      </c>
      <c r="T45" t="s">
        <v>178</v>
      </c>
      <c r="U45" t="s">
        <v>177</v>
      </c>
    </row>
    <row r="46" spans="1:21" ht="20.100000000000001" customHeight="1" x14ac:dyDescent="0.3">
      <c r="A46" t="s">
        <v>115</v>
      </c>
      <c r="B46"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46" t="s">
        <v>116</v>
      </c>
      <c r="D46" t="s">
        <v>265</v>
      </c>
      <c r="E46" t="s">
        <v>6</v>
      </c>
      <c r="F46" t="s">
        <v>143</v>
      </c>
      <c r="G46" t="s">
        <v>222</v>
      </c>
      <c r="H46" t="s">
        <v>148</v>
      </c>
      <c r="I46">
        <v>140</v>
      </c>
      <c r="J46" t="s">
        <v>157</v>
      </c>
      <c r="K46" t="s">
        <v>117</v>
      </c>
      <c r="L46">
        <v>11817</v>
      </c>
      <c r="M46" t="s">
        <v>14</v>
      </c>
      <c r="N46">
        <f>IF(OR(ISBLANK(Table1[[#This Row],[ميعاد الطلب]]), ISBLANK(Table1[[#This Row],[ميعاد التسليم]])), 0, Table1[[#This Row],[ميعاد التسليم]] - Table1[[#This Row],[ميعاد الطلب]])</f>
        <v>45</v>
      </c>
      <c r="O46">
        <f>IF(OR(ISBLANK(Table1[[#This Row],[ميعاد الطلب]]), ISBLANK(Table1[[#This Row],[تاريخ التسليم]])), 0, Table1[[#This Row],[تاريخ التسليم]] - Table1[[#This Row],[ميعاد الطلب]])</f>
        <v>31</v>
      </c>
      <c r="P46">
        <f>IF(Table1[[#This Row],[مدة التسليم (الهدف)]] &lt;=Table1[[#This Row],[مدة التسليم (الفعلي)]], 0,1)</f>
        <v>1</v>
      </c>
      <c r="Q46" s="15">
        <v>45549</v>
      </c>
      <c r="R46" s="15">
        <v>45594</v>
      </c>
      <c r="S46" s="15">
        <v>45580</v>
      </c>
      <c r="T46" t="s">
        <v>178</v>
      </c>
      <c r="U46" t="s">
        <v>177</v>
      </c>
    </row>
    <row r="47" spans="1:21" ht="20.100000000000001" customHeight="1" x14ac:dyDescent="0.3">
      <c r="A47" t="s">
        <v>118</v>
      </c>
      <c r="B47"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47" t="s">
        <v>83</v>
      </c>
      <c r="D47" t="s">
        <v>263</v>
      </c>
      <c r="E47" t="s">
        <v>6</v>
      </c>
      <c r="F47" t="s">
        <v>273</v>
      </c>
      <c r="G47" t="s">
        <v>173</v>
      </c>
      <c r="H47" s="1" t="s">
        <v>266</v>
      </c>
      <c r="I47">
        <v>0</v>
      </c>
      <c r="J47" t="s">
        <v>266</v>
      </c>
      <c r="K47" t="s">
        <v>119</v>
      </c>
      <c r="L47">
        <v>8349</v>
      </c>
      <c r="M47" t="s">
        <v>14</v>
      </c>
      <c r="N47">
        <f>IF(OR(ISBLANK(Table1[[#This Row],[ميعاد الطلب]]), ISBLANK(Table1[[#This Row],[ميعاد التسليم]])), 0, Table1[[#This Row],[ميعاد التسليم]] - Table1[[#This Row],[ميعاد الطلب]])</f>
        <v>45</v>
      </c>
      <c r="O47">
        <f>IF(OR(ISBLANK(Table1[[#This Row],[ميعاد الطلب]]), ISBLANK(Table1[[#This Row],[تاريخ التسليم]])), 0, Table1[[#This Row],[تاريخ التسليم]] - Table1[[#This Row],[ميعاد الطلب]])</f>
        <v>35</v>
      </c>
      <c r="P47">
        <f>IF(Table1[[#This Row],[مدة التسليم (الهدف)]] &lt;=Table1[[#This Row],[مدة التسليم (الفعلي)]], 0,1)</f>
        <v>1</v>
      </c>
      <c r="Q47" s="15">
        <v>45549</v>
      </c>
      <c r="R47" s="15">
        <v>45594</v>
      </c>
      <c r="S47" s="15">
        <v>45584</v>
      </c>
      <c r="T47" t="s">
        <v>178</v>
      </c>
      <c r="U47" t="s">
        <v>177</v>
      </c>
    </row>
    <row r="48" spans="1:21" ht="20.100000000000001" customHeight="1" x14ac:dyDescent="0.3">
      <c r="A48" t="s">
        <v>122</v>
      </c>
      <c r="B48"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48" t="s">
        <v>123</v>
      </c>
      <c r="D48" t="s">
        <v>263</v>
      </c>
      <c r="E48" t="s">
        <v>6</v>
      </c>
      <c r="F48" t="s">
        <v>143</v>
      </c>
      <c r="G48" t="s">
        <v>222</v>
      </c>
      <c r="H48" t="s">
        <v>166</v>
      </c>
      <c r="I48">
        <v>120</v>
      </c>
      <c r="J48" t="s">
        <v>156</v>
      </c>
      <c r="K48" t="s">
        <v>124</v>
      </c>
      <c r="L48">
        <v>17886</v>
      </c>
      <c r="M48" t="s">
        <v>14</v>
      </c>
      <c r="N48">
        <f>IF(OR(ISBLANK(Table1[[#This Row],[ميعاد الطلب]]), ISBLANK(Table1[[#This Row],[ميعاد التسليم]])), 0, Table1[[#This Row],[ميعاد التسليم]] - Table1[[#This Row],[ميعاد الطلب]])</f>
        <v>45</v>
      </c>
      <c r="O48">
        <f>IF(OR(ISBLANK(Table1[[#This Row],[ميعاد الطلب]]), ISBLANK(Table1[[#This Row],[تاريخ التسليم]])), 0, Table1[[#This Row],[تاريخ التسليم]] - Table1[[#This Row],[ميعاد الطلب]])</f>
        <v>0</v>
      </c>
      <c r="P48">
        <f>IF(Table1[[#This Row],[مدة التسليم (الهدف)]] &lt;=Table1[[#This Row],[مدة التسليم (الفعلي)]], 0,1)</f>
        <v>1</v>
      </c>
      <c r="Q48" s="15">
        <v>45549</v>
      </c>
      <c r="R48" s="15">
        <v>45594</v>
      </c>
      <c r="T48"/>
      <c r="U48" t="s">
        <v>175</v>
      </c>
    </row>
    <row r="49" spans="1:21" ht="20.100000000000001" customHeight="1" x14ac:dyDescent="0.3">
      <c r="A49" t="s">
        <v>125</v>
      </c>
      <c r="B49"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49" t="s">
        <v>63</v>
      </c>
      <c r="D49" t="s">
        <v>263</v>
      </c>
      <c r="E49" t="s">
        <v>6</v>
      </c>
      <c r="F49" t="s">
        <v>143</v>
      </c>
      <c r="G49" t="s">
        <v>222</v>
      </c>
      <c r="H49" t="s">
        <v>148</v>
      </c>
      <c r="I49">
        <v>120</v>
      </c>
      <c r="J49" t="s">
        <v>156</v>
      </c>
      <c r="K49" t="s">
        <v>126</v>
      </c>
      <c r="L49">
        <v>10987</v>
      </c>
      <c r="M49" t="s">
        <v>14</v>
      </c>
      <c r="N49">
        <f>IF(OR(ISBLANK(Table1[[#This Row],[ميعاد الطلب]]), ISBLANK(Table1[[#This Row],[ميعاد التسليم]])), 0, Table1[[#This Row],[ميعاد التسليم]] - Table1[[#This Row],[ميعاد الطلب]])</f>
        <v>45</v>
      </c>
      <c r="O49">
        <f>IF(OR(ISBLANK(Table1[[#This Row],[ميعاد الطلب]]), ISBLANK(Table1[[#This Row],[تاريخ التسليم]])), 0, Table1[[#This Row],[تاريخ التسليم]] - Table1[[#This Row],[ميعاد الطلب]])</f>
        <v>29</v>
      </c>
      <c r="P49">
        <f>IF(Table1[[#This Row],[مدة التسليم (الهدف)]] &lt;=Table1[[#This Row],[مدة التسليم (الفعلي)]], 0,1)</f>
        <v>1</v>
      </c>
      <c r="Q49" s="15">
        <v>45549</v>
      </c>
      <c r="R49" s="15">
        <v>45594</v>
      </c>
      <c r="S49" s="15">
        <v>45578</v>
      </c>
      <c r="T49" t="s">
        <v>178</v>
      </c>
      <c r="U49" t="s">
        <v>177</v>
      </c>
    </row>
    <row r="50" spans="1:21" ht="20.100000000000001" customHeight="1" x14ac:dyDescent="0.3">
      <c r="A50" t="s">
        <v>128</v>
      </c>
      <c r="B50"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50" t="s">
        <v>129</v>
      </c>
      <c r="D50" t="s">
        <v>263</v>
      </c>
      <c r="E50" t="s">
        <v>6</v>
      </c>
      <c r="F50" t="s">
        <v>273</v>
      </c>
      <c r="G50" t="s">
        <v>234</v>
      </c>
      <c r="H50" s="1" t="s">
        <v>266</v>
      </c>
      <c r="I50">
        <v>0</v>
      </c>
      <c r="J50" t="s">
        <v>266</v>
      </c>
      <c r="K50" t="s">
        <v>59</v>
      </c>
      <c r="L50">
        <v>10319</v>
      </c>
      <c r="M50" t="s">
        <v>14</v>
      </c>
      <c r="N50">
        <f>IF(OR(ISBLANK(Table1[[#This Row],[ميعاد الطلب]]), ISBLANK(Table1[[#This Row],[ميعاد التسليم]])), 0, Table1[[#This Row],[ميعاد التسليم]] - Table1[[#This Row],[ميعاد الطلب]])</f>
        <v>45</v>
      </c>
      <c r="O50">
        <f>IF(OR(ISBLANK(Table1[[#This Row],[ميعاد الطلب]]), ISBLANK(Table1[[#This Row],[تاريخ التسليم]])), 0, Table1[[#This Row],[تاريخ التسليم]] - Table1[[#This Row],[ميعاد الطلب]])</f>
        <v>35</v>
      </c>
      <c r="P50">
        <f>IF(Table1[[#This Row],[مدة التسليم (الهدف)]] &lt;=Table1[[#This Row],[مدة التسليم (الفعلي)]], 0,1)</f>
        <v>1</v>
      </c>
      <c r="Q50" s="15">
        <v>45549</v>
      </c>
      <c r="R50" s="15">
        <v>45594</v>
      </c>
      <c r="S50" s="15">
        <v>45584</v>
      </c>
      <c r="T50" t="s">
        <v>178</v>
      </c>
      <c r="U50" t="s">
        <v>177</v>
      </c>
    </row>
    <row r="51" spans="1:21" ht="20.100000000000001" customHeight="1" x14ac:dyDescent="0.3">
      <c r="A51" t="s">
        <v>107</v>
      </c>
      <c r="B51"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51" t="s">
        <v>108</v>
      </c>
      <c r="D51" t="s">
        <v>271</v>
      </c>
      <c r="E51" t="s">
        <v>6</v>
      </c>
      <c r="F51" t="s">
        <v>143</v>
      </c>
      <c r="G51" t="s">
        <v>155</v>
      </c>
      <c r="H51" t="s">
        <v>147</v>
      </c>
      <c r="I51">
        <v>120</v>
      </c>
      <c r="J51" t="s">
        <v>161</v>
      </c>
      <c r="K51" t="s">
        <v>293</v>
      </c>
      <c r="L51">
        <v>12999</v>
      </c>
      <c r="M51" t="s">
        <v>14</v>
      </c>
      <c r="N51">
        <f>IF(OR(ISBLANK(Table1[[#This Row],[ميعاد الطلب]]), ISBLANK(Table1[[#This Row],[ميعاد التسليم]])), 0, Table1[[#This Row],[ميعاد التسليم]] - Table1[[#This Row],[ميعاد الطلب]])</f>
        <v>67</v>
      </c>
      <c r="O51">
        <f>IF(OR(ISBLANK(Table1[[#This Row],[ميعاد الطلب]]), ISBLANK(Table1[[#This Row],[تاريخ التسليم]])), 0, Table1[[#This Row],[تاريخ التسليم]] - Table1[[#This Row],[ميعاد الطلب]])</f>
        <v>33</v>
      </c>
      <c r="P51">
        <f>IF(Table1[[#This Row],[مدة التسليم (الهدف)]] &lt;=Table1[[#This Row],[مدة التسليم (الفعلي)]], 0,1)</f>
        <v>1</v>
      </c>
      <c r="Q51" s="15">
        <v>45549</v>
      </c>
      <c r="R51" s="15">
        <v>45616</v>
      </c>
      <c r="S51" s="15">
        <v>45582</v>
      </c>
      <c r="T51" t="s">
        <v>24</v>
      </c>
      <c r="U51" t="s">
        <v>177</v>
      </c>
    </row>
    <row r="52" spans="1:21" ht="20.100000000000001" customHeight="1" x14ac:dyDescent="0.3">
      <c r="A52" t="s">
        <v>110</v>
      </c>
      <c r="B52"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52" t="s">
        <v>111</v>
      </c>
      <c r="D52" t="s">
        <v>269</v>
      </c>
      <c r="E52" t="s">
        <v>6</v>
      </c>
      <c r="F52" t="s">
        <v>152</v>
      </c>
      <c r="G52" t="s">
        <v>154</v>
      </c>
      <c r="H52" s="1" t="s">
        <v>266</v>
      </c>
      <c r="I52">
        <v>0</v>
      </c>
      <c r="J52" t="s">
        <v>157</v>
      </c>
      <c r="K52" t="s">
        <v>98</v>
      </c>
      <c r="L52">
        <v>21999</v>
      </c>
      <c r="M52" t="s">
        <v>14</v>
      </c>
      <c r="N52">
        <f>IF(OR(ISBLANK(Table1[[#This Row],[ميعاد الطلب]]), ISBLANK(Table1[[#This Row],[ميعاد التسليم]])), 0, Table1[[#This Row],[ميعاد التسليم]] - Table1[[#This Row],[ميعاد الطلب]])</f>
        <v>67</v>
      </c>
      <c r="O52">
        <f>IF(OR(ISBLANK(Table1[[#This Row],[ميعاد الطلب]]), ISBLANK(Table1[[#This Row],[تاريخ التسليم]])), 0, Table1[[#This Row],[تاريخ التسليم]] - Table1[[#This Row],[ميعاد الطلب]])</f>
        <v>0</v>
      </c>
      <c r="P52">
        <f>IF(Table1[[#This Row],[مدة التسليم (الهدف)]] &lt;=Table1[[#This Row],[مدة التسليم (الفعلي)]], 0,1)</f>
        <v>1</v>
      </c>
      <c r="Q52" s="15">
        <v>45549</v>
      </c>
      <c r="R52" s="15">
        <v>45616</v>
      </c>
      <c r="T52"/>
      <c r="U52" t="s">
        <v>175</v>
      </c>
    </row>
    <row r="53" spans="1:21" ht="20.100000000000001" customHeight="1" x14ac:dyDescent="0.3">
      <c r="A53" t="s">
        <v>120</v>
      </c>
      <c r="B53"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53" t="s">
        <v>83</v>
      </c>
      <c r="D53" t="s">
        <v>263</v>
      </c>
      <c r="E53" t="s">
        <v>6</v>
      </c>
      <c r="F53" t="s">
        <v>143</v>
      </c>
      <c r="G53" t="s">
        <v>155</v>
      </c>
      <c r="H53" t="s">
        <v>145</v>
      </c>
      <c r="I53">
        <v>100</v>
      </c>
      <c r="J53" t="s">
        <v>161</v>
      </c>
      <c r="K53" t="s">
        <v>121</v>
      </c>
      <c r="L53">
        <v>12399</v>
      </c>
      <c r="M53" t="s">
        <v>14</v>
      </c>
      <c r="N53">
        <f>IF(OR(ISBLANK(Table1[[#This Row],[ميعاد الطلب]]), ISBLANK(Table1[[#This Row],[ميعاد التسليم]])), 0, Table1[[#This Row],[ميعاد التسليم]] - Table1[[#This Row],[ميعاد الطلب]])</f>
        <v>67</v>
      </c>
      <c r="O53">
        <f>IF(OR(ISBLANK(Table1[[#This Row],[ميعاد الطلب]]), ISBLANK(Table1[[#This Row],[تاريخ التسليم]])), 0, Table1[[#This Row],[تاريخ التسليم]] - Table1[[#This Row],[ميعاد الطلب]])</f>
        <v>17</v>
      </c>
      <c r="P53">
        <f>IF(Table1[[#This Row],[مدة التسليم (الهدف)]] &lt;=Table1[[#This Row],[مدة التسليم (الفعلي)]], 0,1)</f>
        <v>1</v>
      </c>
      <c r="Q53" s="15">
        <v>45549</v>
      </c>
      <c r="R53" s="15">
        <v>45616</v>
      </c>
      <c r="S53" s="15">
        <v>45566</v>
      </c>
      <c r="T53" t="s">
        <v>24</v>
      </c>
      <c r="U53" t="s">
        <v>177</v>
      </c>
    </row>
    <row r="54" spans="1:21" ht="20.100000000000001" customHeight="1" x14ac:dyDescent="0.3">
      <c r="A54" t="s">
        <v>127</v>
      </c>
      <c r="B54"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54" t="s">
        <v>63</v>
      </c>
      <c r="D54" t="s">
        <v>263</v>
      </c>
      <c r="E54" t="s">
        <v>6</v>
      </c>
      <c r="F54" t="s">
        <v>152</v>
      </c>
      <c r="G54" t="s">
        <v>154</v>
      </c>
      <c r="H54" s="1" t="s">
        <v>266</v>
      </c>
      <c r="I54">
        <v>0</v>
      </c>
      <c r="J54" t="s">
        <v>157</v>
      </c>
      <c r="K54" t="s">
        <v>98</v>
      </c>
      <c r="L54">
        <v>21999</v>
      </c>
      <c r="M54" t="s">
        <v>14</v>
      </c>
      <c r="N54">
        <f>IF(OR(ISBLANK(Table1[[#This Row],[ميعاد الطلب]]), ISBLANK(Table1[[#This Row],[ميعاد التسليم]])), 0, Table1[[#This Row],[ميعاد التسليم]] - Table1[[#This Row],[ميعاد الطلب]])</f>
        <v>67</v>
      </c>
      <c r="O54">
        <f>IF(OR(ISBLANK(Table1[[#This Row],[ميعاد الطلب]]), ISBLANK(Table1[[#This Row],[تاريخ التسليم]])), 0, Table1[[#This Row],[تاريخ التسليم]] - Table1[[#This Row],[ميعاد الطلب]])</f>
        <v>25</v>
      </c>
      <c r="P54">
        <f>IF(Table1[[#This Row],[مدة التسليم (الهدف)]] &lt;=Table1[[#This Row],[مدة التسليم (الفعلي)]], 0,1)</f>
        <v>1</v>
      </c>
      <c r="Q54" s="15">
        <v>45549</v>
      </c>
      <c r="R54" s="15">
        <v>45616</v>
      </c>
      <c r="S54" s="15">
        <v>45574</v>
      </c>
      <c r="T54" t="s">
        <v>178</v>
      </c>
      <c r="U54" t="s">
        <v>177</v>
      </c>
    </row>
    <row r="55" spans="1:21" ht="20.100000000000001" customHeight="1" x14ac:dyDescent="0.3">
      <c r="A55" t="s">
        <v>130</v>
      </c>
      <c r="B55"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55" t="s">
        <v>58</v>
      </c>
      <c r="D55" t="s">
        <v>263</v>
      </c>
      <c r="E55" t="s">
        <v>6</v>
      </c>
      <c r="F55" t="s">
        <v>143</v>
      </c>
      <c r="G55" t="s">
        <v>155</v>
      </c>
      <c r="H55" t="s">
        <v>145</v>
      </c>
      <c r="I55">
        <v>80</v>
      </c>
      <c r="J55" t="s">
        <v>156</v>
      </c>
      <c r="K55" t="s">
        <v>131</v>
      </c>
      <c r="L55">
        <v>10999</v>
      </c>
      <c r="M55" t="s">
        <v>14</v>
      </c>
      <c r="N55">
        <f>IF(OR(ISBLANK(Table1[[#This Row],[ميعاد الطلب]]), ISBLANK(Table1[[#This Row],[ميعاد التسليم]])), 0, Table1[[#This Row],[ميعاد التسليم]] - Table1[[#This Row],[ميعاد الطلب]])</f>
        <v>67</v>
      </c>
      <c r="O55">
        <f>IF(OR(ISBLANK(Table1[[#This Row],[ميعاد الطلب]]), ISBLANK(Table1[[#This Row],[تاريخ التسليم]])), 0, Table1[[#This Row],[تاريخ التسليم]] - Table1[[#This Row],[ميعاد الطلب]])</f>
        <v>32</v>
      </c>
      <c r="P55">
        <f>IF(Table1[[#This Row],[مدة التسليم (الهدف)]] &lt;=Table1[[#This Row],[مدة التسليم (الفعلي)]], 0,1)</f>
        <v>1</v>
      </c>
      <c r="Q55" s="15">
        <v>45549</v>
      </c>
      <c r="R55" s="15">
        <v>45616</v>
      </c>
      <c r="S55" s="15">
        <v>45581</v>
      </c>
      <c r="T55" t="s">
        <v>178</v>
      </c>
      <c r="U55" t="s">
        <v>177</v>
      </c>
    </row>
    <row r="56" spans="1:21" ht="20.100000000000001" customHeight="1" x14ac:dyDescent="0.3">
      <c r="A56" t="s">
        <v>168</v>
      </c>
      <c r="B56"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56" t="s">
        <v>169</v>
      </c>
      <c r="D56" t="s">
        <v>263</v>
      </c>
      <c r="E56" t="s">
        <v>6</v>
      </c>
      <c r="F56" t="s">
        <v>143</v>
      </c>
      <c r="G56" t="s">
        <v>155</v>
      </c>
      <c r="H56" t="s">
        <v>147</v>
      </c>
      <c r="I56">
        <v>80</v>
      </c>
      <c r="J56" t="s">
        <v>156</v>
      </c>
      <c r="K56"/>
      <c r="L56">
        <v>10999</v>
      </c>
      <c r="M56" t="s">
        <v>14</v>
      </c>
      <c r="N56">
        <f>IF(OR(ISBLANK(Table1[[#This Row],[ميعاد الطلب]]), ISBLANK(Table1[[#This Row],[ميعاد التسليم]])), 0, Table1[[#This Row],[ميعاد التسليم]] - Table1[[#This Row],[ميعاد الطلب]])</f>
        <v>67</v>
      </c>
      <c r="O56">
        <f>IF(OR(ISBLANK(Table1[[#This Row],[ميعاد الطلب]]), ISBLANK(Table1[[#This Row],[تاريخ التسليم]])), 0, Table1[[#This Row],[تاريخ التسليم]] - Table1[[#This Row],[ميعاد الطلب]])</f>
        <v>32</v>
      </c>
      <c r="P56">
        <f>IF(Table1[[#This Row],[مدة التسليم (الهدف)]] &lt;=Table1[[#This Row],[مدة التسليم (الفعلي)]], 0,1)</f>
        <v>1</v>
      </c>
      <c r="Q56" s="15">
        <v>45549</v>
      </c>
      <c r="R56" s="15">
        <v>45616</v>
      </c>
      <c r="S56" s="15">
        <v>45581</v>
      </c>
      <c r="T56" t="s">
        <v>178</v>
      </c>
      <c r="U56" t="s">
        <v>177</v>
      </c>
    </row>
    <row r="57" spans="1:21" ht="20.100000000000001" customHeight="1" x14ac:dyDescent="0.3">
      <c r="A57" t="s">
        <v>170</v>
      </c>
      <c r="B57"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57" t="s">
        <v>171</v>
      </c>
      <c r="D57" t="s">
        <v>263</v>
      </c>
      <c r="E57" t="s">
        <v>6</v>
      </c>
      <c r="F57" t="s">
        <v>152</v>
      </c>
      <c r="G57" t="s">
        <v>154</v>
      </c>
      <c r="H57" s="1" t="s">
        <v>266</v>
      </c>
      <c r="I57">
        <v>0</v>
      </c>
      <c r="J57" t="s">
        <v>157</v>
      </c>
      <c r="K57"/>
      <c r="L57">
        <v>21999</v>
      </c>
      <c r="M57" t="s">
        <v>14</v>
      </c>
      <c r="N57">
        <f>IF(OR(ISBLANK(Table1[[#This Row],[ميعاد الطلب]]), ISBLANK(Table1[[#This Row],[ميعاد التسليم]])), 0, Table1[[#This Row],[ميعاد التسليم]] - Table1[[#This Row],[ميعاد الطلب]])</f>
        <v>67</v>
      </c>
      <c r="O57">
        <f>IF(OR(ISBLANK(Table1[[#This Row],[ميعاد الطلب]]), ISBLANK(Table1[[#This Row],[تاريخ التسليم]])), 0, Table1[[#This Row],[تاريخ التسليم]] - Table1[[#This Row],[ميعاد الطلب]])</f>
        <v>35</v>
      </c>
      <c r="P57">
        <f>IF(Table1[[#This Row],[مدة التسليم (الهدف)]] &lt;=Table1[[#This Row],[مدة التسليم (الفعلي)]], 0,1)</f>
        <v>1</v>
      </c>
      <c r="Q57" s="15">
        <v>45549</v>
      </c>
      <c r="R57" s="15">
        <v>45616</v>
      </c>
      <c r="S57" s="15">
        <v>45584</v>
      </c>
      <c r="T57" t="s">
        <v>178</v>
      </c>
      <c r="U57" t="s">
        <v>177</v>
      </c>
    </row>
    <row r="58" spans="1:21" ht="20.100000000000001" customHeight="1" x14ac:dyDescent="0.3">
      <c r="A58" t="s">
        <v>176</v>
      </c>
      <c r="B58"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58" t="s">
        <v>138</v>
      </c>
      <c r="D58" t="s">
        <v>186</v>
      </c>
      <c r="E58" t="s">
        <v>6</v>
      </c>
      <c r="F58" t="s">
        <v>273</v>
      </c>
      <c r="G58" t="s">
        <v>234</v>
      </c>
      <c r="H58" s="1" t="s">
        <v>266</v>
      </c>
      <c r="I58">
        <v>0</v>
      </c>
      <c r="J58" t="s">
        <v>266</v>
      </c>
      <c r="K58"/>
      <c r="L58">
        <v>7849</v>
      </c>
      <c r="M58" t="s">
        <v>274</v>
      </c>
      <c r="N58">
        <f>IF(OR(ISBLANK(Table1[[#This Row],[ميعاد الطلب]]), ISBLANK(Table1[[#This Row],[ميعاد التسليم]])), 0, Table1[[#This Row],[ميعاد التسليم]] - Table1[[#This Row],[ميعاد الطلب]])</f>
        <v>44</v>
      </c>
      <c r="O58">
        <f>IF(OR(ISBLANK(Table1[[#This Row],[ميعاد الطلب]]), ISBLANK(Table1[[#This Row],[تاريخ التسليم]])), 0, Table1[[#This Row],[تاريخ التسليم]] - Table1[[#This Row],[ميعاد الطلب]])</f>
        <v>59</v>
      </c>
      <c r="P58">
        <f>IF(Table1[[#This Row],[مدة التسليم (الهدف)]] &lt;=Table1[[#This Row],[مدة التسليم (الفعلي)]], 0,1)</f>
        <v>0</v>
      </c>
      <c r="Q58" s="15">
        <v>45551</v>
      </c>
      <c r="R58" s="15">
        <v>45595</v>
      </c>
      <c r="S58" s="15">
        <v>45610</v>
      </c>
      <c r="T58" t="s">
        <v>24</v>
      </c>
      <c r="U58" t="s">
        <v>177</v>
      </c>
    </row>
    <row r="59" spans="1:21" ht="20.100000000000001" customHeight="1" x14ac:dyDescent="0.3">
      <c r="A59" t="s">
        <v>78</v>
      </c>
      <c r="B59"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59" t="s">
        <v>179</v>
      </c>
      <c r="D59" t="s">
        <v>264</v>
      </c>
      <c r="E59" t="s">
        <v>52</v>
      </c>
      <c r="F59" t="s">
        <v>143</v>
      </c>
      <c r="G59" t="s">
        <v>155</v>
      </c>
      <c r="H59" t="s">
        <v>147</v>
      </c>
      <c r="I59">
        <v>80</v>
      </c>
      <c r="J59" t="s">
        <v>156</v>
      </c>
      <c r="K59"/>
      <c r="L59">
        <v>5074</v>
      </c>
      <c r="M59" t="s">
        <v>80</v>
      </c>
      <c r="N59">
        <f>IF(OR(ISBLANK(Table1[[#This Row],[ميعاد الطلب]]), ISBLANK(Table1[[#This Row],[ميعاد التسليم]])), 0, Table1[[#This Row],[ميعاد التسليم]] - Table1[[#This Row],[ميعاد الطلب]])</f>
        <v>14</v>
      </c>
      <c r="O59">
        <f>IF(OR(ISBLANK(Table1[[#This Row],[ميعاد الطلب]]), ISBLANK(Table1[[#This Row],[تاريخ التسليم]])), 0, Table1[[#This Row],[تاريخ التسليم]] - Table1[[#This Row],[ميعاد الطلب]])</f>
        <v>21</v>
      </c>
      <c r="P59">
        <f>IF(Table1[[#This Row],[مدة التسليم (الهدف)]] &lt;=Table1[[#This Row],[مدة التسليم (الفعلي)]], 0,1)</f>
        <v>0</v>
      </c>
      <c r="Q59" s="15">
        <v>45556</v>
      </c>
      <c r="R59" s="15">
        <v>45570</v>
      </c>
      <c r="S59" s="15">
        <v>45577</v>
      </c>
      <c r="T59" t="s">
        <v>178</v>
      </c>
      <c r="U59" t="s">
        <v>177</v>
      </c>
    </row>
    <row r="60" spans="1:21" ht="20.100000000000001" customHeight="1" x14ac:dyDescent="0.3">
      <c r="A60" t="s">
        <v>37</v>
      </c>
      <c r="B60"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60" t="s">
        <v>38</v>
      </c>
      <c r="D60" t="s">
        <v>263</v>
      </c>
      <c r="E60" t="s">
        <v>39</v>
      </c>
      <c r="F60" t="s">
        <v>143</v>
      </c>
      <c r="G60" t="s">
        <v>155</v>
      </c>
      <c r="H60" t="s">
        <v>146</v>
      </c>
      <c r="I60">
        <v>100</v>
      </c>
      <c r="J60" t="s">
        <v>180</v>
      </c>
      <c r="K60"/>
      <c r="L60">
        <v>6250</v>
      </c>
      <c r="M60" t="s">
        <v>80</v>
      </c>
      <c r="N60">
        <f>IF(OR(ISBLANK(Table1[[#This Row],[ميعاد الطلب]]), ISBLANK(Table1[[#This Row],[ميعاد التسليم]])), 0, Table1[[#This Row],[ميعاد التسليم]] - Table1[[#This Row],[ميعاد الطلب]])</f>
        <v>15</v>
      </c>
      <c r="O60">
        <f>IF(OR(ISBLANK(Table1[[#This Row],[ميعاد الطلب]]), ISBLANK(Table1[[#This Row],[تاريخ التسليم]])), 0, Table1[[#This Row],[تاريخ التسليم]] - Table1[[#This Row],[ميعاد الطلب]])</f>
        <v>24</v>
      </c>
      <c r="P60">
        <f>IF(Table1[[#This Row],[مدة التسليم (الهدف)]] &lt;=Table1[[#This Row],[مدة التسليم (الفعلي)]], 0,1)</f>
        <v>0</v>
      </c>
      <c r="Q60" s="15">
        <v>45558</v>
      </c>
      <c r="R60" s="15">
        <v>45573</v>
      </c>
      <c r="S60" s="15">
        <v>45582</v>
      </c>
      <c r="T60" t="s">
        <v>178</v>
      </c>
      <c r="U60" t="s">
        <v>177</v>
      </c>
    </row>
    <row r="61" spans="1:21" ht="20.100000000000001" customHeight="1" x14ac:dyDescent="0.3">
      <c r="A61" t="s">
        <v>181</v>
      </c>
      <c r="B61"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61" t="s">
        <v>38</v>
      </c>
      <c r="D61" t="s">
        <v>263</v>
      </c>
      <c r="E61" t="s">
        <v>6</v>
      </c>
      <c r="F61" t="s">
        <v>143</v>
      </c>
      <c r="G61" t="s">
        <v>222</v>
      </c>
      <c r="H61" t="s">
        <v>166</v>
      </c>
      <c r="I61">
        <v>120</v>
      </c>
      <c r="J61" t="s">
        <v>156</v>
      </c>
      <c r="K61"/>
      <c r="L61">
        <v>8943</v>
      </c>
      <c r="M61" t="s">
        <v>274</v>
      </c>
      <c r="N61">
        <f>IF(OR(ISBLANK(Table1[[#This Row],[ميعاد الطلب]]), ISBLANK(Table1[[#This Row],[ميعاد التسليم]])), 0, Table1[[#This Row],[ميعاد التسليم]] - Table1[[#This Row],[ميعاد الطلب]])</f>
        <v>45</v>
      </c>
      <c r="O61">
        <f>IF(OR(ISBLANK(Table1[[#This Row],[ميعاد الطلب]]), ISBLANK(Table1[[#This Row],[تاريخ التسليم]])), 0, Table1[[#This Row],[تاريخ التسليم]] - Table1[[#This Row],[ميعاد الطلب]])</f>
        <v>14</v>
      </c>
      <c r="P61">
        <f>IF(Table1[[#This Row],[مدة التسليم (الهدف)]] &lt;=Table1[[#This Row],[مدة التسليم (الفعلي)]], 0,1)</f>
        <v>1</v>
      </c>
      <c r="Q61" s="15">
        <v>45561</v>
      </c>
      <c r="R61" s="15">
        <v>45606</v>
      </c>
      <c r="S61" s="15">
        <v>45575</v>
      </c>
      <c r="T61" t="s">
        <v>178</v>
      </c>
      <c r="U61" t="s">
        <v>177</v>
      </c>
    </row>
    <row r="62" spans="1:21" ht="20.100000000000001" customHeight="1" x14ac:dyDescent="0.3">
      <c r="A62" t="s">
        <v>182</v>
      </c>
      <c r="B62"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62" t="s">
        <v>183</v>
      </c>
      <c r="D62" t="s">
        <v>265</v>
      </c>
      <c r="E62" t="s">
        <v>6</v>
      </c>
      <c r="F62" t="s">
        <v>273</v>
      </c>
      <c r="G62" t="s">
        <v>173</v>
      </c>
      <c r="H62" s="1" t="s">
        <v>266</v>
      </c>
      <c r="I62">
        <v>0</v>
      </c>
      <c r="J62" t="s">
        <v>266</v>
      </c>
      <c r="K62"/>
      <c r="L62">
        <v>8349</v>
      </c>
      <c r="M62" t="s">
        <v>274</v>
      </c>
      <c r="N62">
        <f>IF(OR(ISBLANK(Table1[[#This Row],[ميعاد الطلب]]), ISBLANK(Table1[[#This Row],[ميعاد التسليم]])), 0, Table1[[#This Row],[ميعاد التسليم]] - Table1[[#This Row],[ميعاد الطلب]])</f>
        <v>45</v>
      </c>
      <c r="O62">
        <f>IF(OR(ISBLANK(Table1[[#This Row],[ميعاد الطلب]]), ISBLANK(Table1[[#This Row],[تاريخ التسليم]])), 0, Table1[[#This Row],[تاريخ التسليم]] - Table1[[#This Row],[ميعاد الطلب]])</f>
        <v>0</v>
      </c>
      <c r="P62">
        <f>IF(Table1[[#This Row],[مدة التسليم (الهدف)]] &lt;=Table1[[#This Row],[مدة التسليم (الفعلي)]], 0,1)</f>
        <v>1</v>
      </c>
      <c r="Q62" s="15">
        <v>45561</v>
      </c>
      <c r="R62" s="15">
        <v>45606</v>
      </c>
      <c r="T62"/>
      <c r="U62" t="s">
        <v>175</v>
      </c>
    </row>
    <row r="63" spans="1:21" ht="20.100000000000001" customHeight="1" x14ac:dyDescent="0.3">
      <c r="A63" t="s">
        <v>27</v>
      </c>
      <c r="B63"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63" t="s">
        <v>196</v>
      </c>
      <c r="D63" t="s">
        <v>263</v>
      </c>
      <c r="E63" t="s">
        <v>48</v>
      </c>
      <c r="F63" t="s">
        <v>152</v>
      </c>
      <c r="G63" t="s">
        <v>154</v>
      </c>
      <c r="H63" s="1" t="s">
        <v>266</v>
      </c>
      <c r="I63">
        <v>0</v>
      </c>
      <c r="J63" t="s">
        <v>190</v>
      </c>
      <c r="K63"/>
      <c r="L63">
        <v>14950</v>
      </c>
      <c r="M63" t="s">
        <v>14</v>
      </c>
      <c r="N63">
        <f>IF(OR(ISBLANK(Table1[[#This Row],[ميعاد الطلب]]), ISBLANK(Table1[[#This Row],[ميعاد التسليم]])), 0, Table1[[#This Row],[ميعاد التسليم]] - Table1[[#This Row],[ميعاد الطلب]])</f>
        <v>18</v>
      </c>
      <c r="O63">
        <f>IF(OR(ISBLANK(Table1[[#This Row],[ميعاد الطلب]]), ISBLANK(Table1[[#This Row],[تاريخ التسليم]])), 0, Table1[[#This Row],[تاريخ التسليم]] - Table1[[#This Row],[ميعاد الطلب]])</f>
        <v>17</v>
      </c>
      <c r="P63">
        <f>IF(Table1[[#This Row],[مدة التسليم (الهدف)]] &lt;=Table1[[#This Row],[مدة التسليم (الفعلي)]], 0,1)</f>
        <v>1</v>
      </c>
      <c r="Q63" s="15">
        <v>45561</v>
      </c>
      <c r="R63" s="15">
        <v>45579</v>
      </c>
      <c r="S63" s="15">
        <v>45578</v>
      </c>
      <c r="T63" t="s">
        <v>178</v>
      </c>
      <c r="U63" t="s">
        <v>177</v>
      </c>
    </row>
    <row r="64" spans="1:21" ht="20.100000000000001" customHeight="1" x14ac:dyDescent="0.3">
      <c r="A64" t="s">
        <v>27</v>
      </c>
      <c r="B64"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64"/>
      <c r="D64" t="s">
        <v>266</v>
      </c>
      <c r="E64" t="s">
        <v>48</v>
      </c>
      <c r="F64" t="s">
        <v>143</v>
      </c>
      <c r="G64" t="s">
        <v>155</v>
      </c>
      <c r="H64" t="s">
        <v>146</v>
      </c>
      <c r="I64">
        <v>100</v>
      </c>
      <c r="J64" t="s">
        <v>157</v>
      </c>
      <c r="K64"/>
      <c r="L64">
        <v>9208</v>
      </c>
      <c r="M64" t="s">
        <v>274</v>
      </c>
      <c r="N64">
        <f>IF(OR(ISBLANK(Table1[[#This Row],[ميعاد الطلب]]), ISBLANK(Table1[[#This Row],[ميعاد التسليم]])), 0, Table1[[#This Row],[ميعاد التسليم]] - Table1[[#This Row],[ميعاد الطلب]])</f>
        <v>18</v>
      </c>
      <c r="O64">
        <f>IF(OR(ISBLANK(Table1[[#This Row],[ميعاد الطلب]]), ISBLANK(Table1[[#This Row],[تاريخ التسليم]])), 0, Table1[[#This Row],[تاريخ التسليم]] - Table1[[#This Row],[ميعاد الطلب]])</f>
        <v>0</v>
      </c>
      <c r="P64">
        <f>IF(Table1[[#This Row],[مدة التسليم (الهدف)]] &lt;=Table1[[#This Row],[مدة التسليم (الفعلي)]], 0,1)</f>
        <v>1</v>
      </c>
      <c r="Q64" s="15">
        <v>45561</v>
      </c>
      <c r="R64" s="15">
        <v>45579</v>
      </c>
      <c r="T64"/>
      <c r="U64" t="s">
        <v>175</v>
      </c>
    </row>
    <row r="65" spans="1:21" ht="20.100000000000001" customHeight="1" x14ac:dyDescent="0.3">
      <c r="A65" t="s">
        <v>27</v>
      </c>
      <c r="B65"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65"/>
      <c r="D65" t="s">
        <v>266</v>
      </c>
      <c r="E65" t="s">
        <v>48</v>
      </c>
      <c r="F65" t="s">
        <v>143</v>
      </c>
      <c r="G65" t="s">
        <v>222</v>
      </c>
      <c r="H65" t="s">
        <v>148</v>
      </c>
      <c r="I65">
        <v>120</v>
      </c>
      <c r="J65" t="s">
        <v>156</v>
      </c>
      <c r="K65"/>
      <c r="L65">
        <v>7433</v>
      </c>
      <c r="M65" t="s">
        <v>14</v>
      </c>
      <c r="N65">
        <f>IF(OR(ISBLANK(Table1[[#This Row],[ميعاد الطلب]]), ISBLANK(Table1[[#This Row],[ميعاد التسليم]])), 0, Table1[[#This Row],[ميعاد التسليم]] - Table1[[#This Row],[ميعاد الطلب]])</f>
        <v>21</v>
      </c>
      <c r="O65">
        <f>IF(OR(ISBLANK(Table1[[#This Row],[ميعاد الطلب]]), ISBLANK(Table1[[#This Row],[تاريخ التسليم]])), 0, Table1[[#This Row],[تاريخ التسليم]] - Table1[[#This Row],[ميعاد الطلب]])</f>
        <v>22</v>
      </c>
      <c r="P65">
        <f>IF(Table1[[#This Row],[مدة التسليم (الهدف)]] &lt;=Table1[[#This Row],[مدة التسليم (الفعلي)]], 0,1)</f>
        <v>0</v>
      </c>
      <c r="Q65" s="15">
        <v>45564</v>
      </c>
      <c r="R65" s="15">
        <v>45585</v>
      </c>
      <c r="S65" s="15">
        <v>45586</v>
      </c>
      <c r="T65" t="s">
        <v>178</v>
      </c>
      <c r="U65" t="s">
        <v>177</v>
      </c>
    </row>
    <row r="66" spans="1:21" ht="20.100000000000001" customHeight="1" x14ac:dyDescent="0.3">
      <c r="A66" t="s">
        <v>78</v>
      </c>
      <c r="B66"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66" t="s">
        <v>179</v>
      </c>
      <c r="D66" t="s">
        <v>264</v>
      </c>
      <c r="E66" t="s">
        <v>52</v>
      </c>
      <c r="F66" t="s">
        <v>143</v>
      </c>
      <c r="G66" t="s">
        <v>222</v>
      </c>
      <c r="H66" t="s">
        <v>166</v>
      </c>
      <c r="I66">
        <v>120</v>
      </c>
      <c r="J66" t="s">
        <v>156</v>
      </c>
      <c r="K66"/>
      <c r="L66">
        <v>4020</v>
      </c>
      <c r="M66" t="s">
        <v>80</v>
      </c>
      <c r="N66">
        <f>IF(OR(ISBLANK(Table1[[#This Row],[ميعاد الطلب]]), ISBLANK(Table1[[#This Row],[ميعاد التسليم]])), 0, Table1[[#This Row],[ميعاد التسليم]] - Table1[[#This Row],[ميعاد الطلب]])</f>
        <v>13</v>
      </c>
      <c r="O66">
        <f>IF(OR(ISBLANK(Table1[[#This Row],[ميعاد الطلب]]), ISBLANK(Table1[[#This Row],[تاريخ التسليم]])), 0, Table1[[#This Row],[تاريخ التسليم]] - Table1[[#This Row],[ميعاد الطلب]])</f>
        <v>13</v>
      </c>
      <c r="P66">
        <f>IF(Table1[[#This Row],[مدة التسليم (الهدف)]] &lt;=Table1[[#This Row],[مدة التسليم (الفعلي)]], 0,1)</f>
        <v>0</v>
      </c>
      <c r="Q66" s="15">
        <v>45564</v>
      </c>
      <c r="R66" s="15">
        <v>45577</v>
      </c>
      <c r="S66" s="15">
        <v>45577</v>
      </c>
      <c r="T66" t="s">
        <v>178</v>
      </c>
      <c r="U66" t="s">
        <v>177</v>
      </c>
    </row>
    <row r="67" spans="1:21" ht="20.100000000000001" customHeight="1" x14ac:dyDescent="0.3">
      <c r="A67" t="s">
        <v>184</v>
      </c>
      <c r="B67"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67" t="s">
        <v>185</v>
      </c>
      <c r="D67" t="s">
        <v>186</v>
      </c>
      <c r="E67" t="s">
        <v>266</v>
      </c>
      <c r="F67" t="s">
        <v>143</v>
      </c>
      <c r="G67" t="s">
        <v>155</v>
      </c>
      <c r="H67" t="s">
        <v>205</v>
      </c>
      <c r="I67">
        <v>100</v>
      </c>
      <c r="J67" t="s">
        <v>187</v>
      </c>
      <c r="K67"/>
      <c r="L67">
        <v>8544.9054400000005</v>
      </c>
      <c r="M67" s="1" t="s">
        <v>266</v>
      </c>
      <c r="N67" s="1">
        <f>IF(OR(ISBLANK(Table1[[#This Row],[ميعاد الطلب]]), ISBLANK(Table1[[#This Row],[ميعاد التسليم]])), 0, Table1[[#This Row],[ميعاد التسليم]] - Table1[[#This Row],[ميعاد الطلب]])</f>
        <v>8</v>
      </c>
      <c r="O67" s="1">
        <f>IF(OR(ISBLANK(Table1[[#This Row],[ميعاد الطلب]]), ISBLANK(Table1[[#This Row],[تاريخ التسليم]])), 0, Table1[[#This Row],[تاريخ التسليم]] - Table1[[#This Row],[ميعاد الطلب]])</f>
        <v>8</v>
      </c>
      <c r="P67" s="1">
        <f>IF(Table1[[#This Row],[مدة التسليم (الهدف)]] &lt;=Table1[[#This Row],[مدة التسليم (الفعلي)]], 0,1)</f>
        <v>0</v>
      </c>
      <c r="Q67" s="15">
        <v>45566</v>
      </c>
      <c r="R67" s="15">
        <v>45574</v>
      </c>
      <c r="S67" s="15">
        <v>45574</v>
      </c>
      <c r="T67" t="s">
        <v>194</v>
      </c>
      <c r="U67" t="s">
        <v>177</v>
      </c>
    </row>
    <row r="68" spans="1:21" ht="20.100000000000001" customHeight="1" x14ac:dyDescent="0.3">
      <c r="A68" t="s">
        <v>184</v>
      </c>
      <c r="B68"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68" t="s">
        <v>185</v>
      </c>
      <c r="D68" t="s">
        <v>186</v>
      </c>
      <c r="E68" t="s">
        <v>266</v>
      </c>
      <c r="F68" t="s">
        <v>143</v>
      </c>
      <c r="G68" t="s">
        <v>144</v>
      </c>
      <c r="H68" s="1" t="s">
        <v>266</v>
      </c>
      <c r="I68">
        <v>0</v>
      </c>
      <c r="J68" t="s">
        <v>157</v>
      </c>
      <c r="K68"/>
      <c r="L68">
        <v>4600</v>
      </c>
      <c r="M68" s="1" t="s">
        <v>266</v>
      </c>
      <c r="N68" s="1">
        <f>IF(OR(ISBLANK(Table1[[#This Row],[ميعاد الطلب]]), ISBLANK(Table1[[#This Row],[ميعاد التسليم]])), 0, Table1[[#This Row],[ميعاد التسليم]] - Table1[[#This Row],[ميعاد الطلب]])</f>
        <v>8</v>
      </c>
      <c r="O68" s="1">
        <f>IF(OR(ISBLANK(Table1[[#This Row],[ميعاد الطلب]]), ISBLANK(Table1[[#This Row],[تاريخ التسليم]])), 0, Table1[[#This Row],[تاريخ التسليم]] - Table1[[#This Row],[ميعاد الطلب]])</f>
        <v>8</v>
      </c>
      <c r="P68" s="1">
        <f>IF(Table1[[#This Row],[مدة التسليم (الهدف)]] &lt;=Table1[[#This Row],[مدة التسليم (الفعلي)]], 0,1)</f>
        <v>0</v>
      </c>
      <c r="Q68" s="15">
        <v>45566</v>
      </c>
      <c r="R68" s="15">
        <v>45574</v>
      </c>
      <c r="S68" s="15">
        <v>45574</v>
      </c>
      <c r="T68" t="s">
        <v>194</v>
      </c>
      <c r="U68" t="s">
        <v>177</v>
      </c>
    </row>
    <row r="69" spans="1:21" ht="20.100000000000001" customHeight="1" x14ac:dyDescent="0.3">
      <c r="A69" t="s">
        <v>184</v>
      </c>
      <c r="B69"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69" t="s">
        <v>185</v>
      </c>
      <c r="D69" t="s">
        <v>186</v>
      </c>
      <c r="E69" t="s">
        <v>266</v>
      </c>
      <c r="F69" t="s">
        <v>152</v>
      </c>
      <c r="G69" t="s">
        <v>188</v>
      </c>
      <c r="H69" s="1" t="s">
        <v>266</v>
      </c>
      <c r="I69">
        <v>0</v>
      </c>
      <c r="J69" t="s">
        <v>157</v>
      </c>
      <c r="K69"/>
      <c r="L69">
        <v>10000</v>
      </c>
      <c r="M69" s="1" t="s">
        <v>266</v>
      </c>
      <c r="N69" s="1">
        <f>IF(OR(ISBLANK(Table1[[#This Row],[ميعاد الطلب]]), ISBLANK(Table1[[#This Row],[ميعاد التسليم]])), 0, Table1[[#This Row],[ميعاد التسليم]] - Table1[[#This Row],[ميعاد الطلب]])</f>
        <v>8</v>
      </c>
      <c r="O69" s="1">
        <f>IF(OR(ISBLANK(Table1[[#This Row],[ميعاد الطلب]]), ISBLANK(Table1[[#This Row],[تاريخ التسليم]])), 0, Table1[[#This Row],[تاريخ التسليم]] - Table1[[#This Row],[ميعاد الطلب]])</f>
        <v>8</v>
      </c>
      <c r="P69" s="1">
        <f>IF(Table1[[#This Row],[مدة التسليم (الهدف)]] &lt;=Table1[[#This Row],[مدة التسليم (الفعلي)]], 0,1)</f>
        <v>0</v>
      </c>
      <c r="Q69" s="15">
        <v>45566</v>
      </c>
      <c r="R69" s="15">
        <v>45574</v>
      </c>
      <c r="S69" s="15">
        <v>45574</v>
      </c>
      <c r="T69" t="s">
        <v>194</v>
      </c>
      <c r="U69" t="s">
        <v>177</v>
      </c>
    </row>
    <row r="70" spans="1:21" ht="20.100000000000001" customHeight="1" x14ac:dyDescent="0.3">
      <c r="A70" t="s">
        <v>184</v>
      </c>
      <c r="B70"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70" t="s">
        <v>185</v>
      </c>
      <c r="D70" t="s">
        <v>186</v>
      </c>
      <c r="E70" t="s">
        <v>266</v>
      </c>
      <c r="F70" t="s">
        <v>189</v>
      </c>
      <c r="G70" t="s">
        <v>266</v>
      </c>
      <c r="H70" s="1" t="s">
        <v>266</v>
      </c>
      <c r="I70">
        <v>0</v>
      </c>
      <c r="J70" t="s">
        <v>157</v>
      </c>
      <c r="K70"/>
      <c r="L70">
        <v>10000</v>
      </c>
      <c r="M70" s="1" t="s">
        <v>266</v>
      </c>
      <c r="N70" s="1">
        <f>IF(OR(ISBLANK(Table1[[#This Row],[ميعاد الطلب]]), ISBLANK(Table1[[#This Row],[ميعاد التسليم]])), 0, Table1[[#This Row],[ميعاد التسليم]] - Table1[[#This Row],[ميعاد الطلب]])</f>
        <v>8</v>
      </c>
      <c r="O70" s="1">
        <f>IF(OR(ISBLANK(Table1[[#This Row],[ميعاد الطلب]]), ISBLANK(Table1[[#This Row],[تاريخ التسليم]])), 0, Table1[[#This Row],[تاريخ التسليم]] - Table1[[#This Row],[ميعاد الطلب]])</f>
        <v>8</v>
      </c>
      <c r="P70" s="1">
        <f>IF(Table1[[#This Row],[مدة التسليم (الهدف)]] &lt;=Table1[[#This Row],[مدة التسليم (الفعلي)]], 0,1)</f>
        <v>0</v>
      </c>
      <c r="Q70" s="15">
        <v>45566</v>
      </c>
      <c r="R70" s="15">
        <v>45574</v>
      </c>
      <c r="S70" s="15">
        <v>45574</v>
      </c>
      <c r="T70" t="s">
        <v>194</v>
      </c>
      <c r="U70" t="s">
        <v>177</v>
      </c>
    </row>
    <row r="71" spans="1:21" ht="20.100000000000001" customHeight="1" x14ac:dyDescent="0.3">
      <c r="A71" t="s">
        <v>191</v>
      </c>
      <c r="B71"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71" t="s">
        <v>192</v>
      </c>
      <c r="D71" t="s">
        <v>263</v>
      </c>
      <c r="E71" t="s">
        <v>6</v>
      </c>
      <c r="F71" t="s">
        <v>143</v>
      </c>
      <c r="G71" t="s">
        <v>144</v>
      </c>
      <c r="H71" s="1" t="s">
        <v>266</v>
      </c>
      <c r="I71">
        <v>0</v>
      </c>
      <c r="J71" t="s">
        <v>157</v>
      </c>
      <c r="K71"/>
      <c r="L71">
        <v>8899</v>
      </c>
      <c r="M71" t="s">
        <v>274</v>
      </c>
      <c r="N71">
        <f>IF(OR(ISBLANK(Table1[[#This Row],[ميعاد الطلب]]), ISBLANK(Table1[[#This Row],[ميعاد التسليم]])), 0, Table1[[#This Row],[ميعاد التسليم]] - Table1[[#This Row],[ميعاد الطلب]])</f>
        <v>45</v>
      </c>
      <c r="O71">
        <f>IF(OR(ISBLANK(Table1[[#This Row],[ميعاد الطلب]]), ISBLANK(Table1[[#This Row],[تاريخ التسليم]])), 0, Table1[[#This Row],[تاريخ التسليم]] - Table1[[#This Row],[ميعاد الطلب]])</f>
        <v>0</v>
      </c>
      <c r="P71">
        <f>IF(Table1[[#This Row],[مدة التسليم (الهدف)]] &lt;=Table1[[#This Row],[مدة التسليم (الفعلي)]], 0,1)</f>
        <v>1</v>
      </c>
      <c r="Q71" s="15">
        <v>45568</v>
      </c>
      <c r="R71" s="15">
        <v>45613</v>
      </c>
      <c r="T71"/>
      <c r="U71" t="s">
        <v>175</v>
      </c>
    </row>
    <row r="72" spans="1:21" ht="20.100000000000001" customHeight="1" x14ac:dyDescent="0.3">
      <c r="A72" t="s">
        <v>27</v>
      </c>
      <c r="B72"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72" t="s">
        <v>193</v>
      </c>
      <c r="D72" t="s">
        <v>266</v>
      </c>
      <c r="E72" t="s">
        <v>48</v>
      </c>
      <c r="F72" t="s">
        <v>152</v>
      </c>
      <c r="G72" t="s">
        <v>154</v>
      </c>
      <c r="H72" s="1" t="s">
        <v>266</v>
      </c>
      <c r="I72">
        <v>0</v>
      </c>
      <c r="J72" t="s">
        <v>157</v>
      </c>
      <c r="K72"/>
      <c r="L72">
        <v>14550</v>
      </c>
      <c r="M72" t="s">
        <v>14</v>
      </c>
      <c r="N72">
        <f>IF(OR(ISBLANK(Table1[[#This Row],[ميعاد الطلب]]), ISBLANK(Table1[[#This Row],[ميعاد التسليم]])), 0, Table1[[#This Row],[ميعاد التسليم]] - Table1[[#This Row],[ميعاد الطلب]])</f>
        <v>21</v>
      </c>
      <c r="O72">
        <f>IF(OR(ISBLANK(Table1[[#This Row],[ميعاد الطلب]]), ISBLANK(Table1[[#This Row],[تاريخ التسليم]])), 0, Table1[[#This Row],[تاريخ التسليم]] - Table1[[#This Row],[ميعاد الطلب]])</f>
        <v>22</v>
      </c>
      <c r="P72">
        <f>IF(Table1[[#This Row],[مدة التسليم (الهدف)]] &lt;=Table1[[#This Row],[مدة التسليم (الفعلي)]], 0,1)</f>
        <v>0</v>
      </c>
      <c r="Q72" s="15">
        <v>45573</v>
      </c>
      <c r="R72" s="15">
        <v>45594</v>
      </c>
      <c r="S72" s="15">
        <v>45595</v>
      </c>
      <c r="T72" t="s">
        <v>178</v>
      </c>
      <c r="U72" t="s">
        <v>177</v>
      </c>
    </row>
    <row r="73" spans="1:21" ht="20.100000000000001" customHeight="1" x14ac:dyDescent="0.3">
      <c r="A73" t="s">
        <v>27</v>
      </c>
      <c r="B73"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73" t="s">
        <v>195</v>
      </c>
      <c r="D73" t="s">
        <v>265</v>
      </c>
      <c r="E73" t="s">
        <v>48</v>
      </c>
      <c r="F73" t="s">
        <v>152</v>
      </c>
      <c r="G73" t="s">
        <v>154</v>
      </c>
      <c r="H73" s="1" t="s">
        <v>266</v>
      </c>
      <c r="I73">
        <v>0</v>
      </c>
      <c r="J73" t="s">
        <v>157</v>
      </c>
      <c r="K73"/>
      <c r="L73">
        <v>14550</v>
      </c>
      <c r="M73" t="s">
        <v>14</v>
      </c>
      <c r="N73">
        <f>IF(OR(ISBLANK(Table1[[#This Row],[ميعاد الطلب]]), ISBLANK(Table1[[#This Row],[ميعاد التسليم]])), 0, Table1[[#This Row],[ميعاد التسليم]] - Table1[[#This Row],[ميعاد الطلب]])</f>
        <v>22</v>
      </c>
      <c r="O73">
        <f>IF(OR(ISBLANK(Table1[[#This Row],[ميعاد الطلب]]), ISBLANK(Table1[[#This Row],[تاريخ التسليم]])), 0, Table1[[#This Row],[تاريخ التسليم]] - Table1[[#This Row],[ميعاد الطلب]])</f>
        <v>8</v>
      </c>
      <c r="P73">
        <f>IF(Table1[[#This Row],[مدة التسليم (الهدف)]] &lt;=Table1[[#This Row],[مدة التسليم (الفعلي)]], 0,1)</f>
        <v>1</v>
      </c>
      <c r="Q73" s="15">
        <v>45572</v>
      </c>
      <c r="R73" s="15">
        <v>45594</v>
      </c>
      <c r="S73" s="15">
        <v>45580</v>
      </c>
      <c r="T73" t="s">
        <v>178</v>
      </c>
      <c r="U73" t="s">
        <v>177</v>
      </c>
    </row>
    <row r="74" spans="1:21" ht="20.100000000000001" customHeight="1" x14ac:dyDescent="0.3">
      <c r="A74" t="s">
        <v>27</v>
      </c>
      <c r="B74"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74"/>
      <c r="D74" t="s">
        <v>266</v>
      </c>
      <c r="E74" t="s">
        <v>48</v>
      </c>
      <c r="F74" t="s">
        <v>152</v>
      </c>
      <c r="G74" t="s">
        <v>154</v>
      </c>
      <c r="H74" s="1" t="s">
        <v>266</v>
      </c>
      <c r="I74">
        <v>0</v>
      </c>
      <c r="J74" t="s">
        <v>157</v>
      </c>
      <c r="K74"/>
      <c r="L74">
        <v>14550</v>
      </c>
      <c r="M74" t="s">
        <v>274</v>
      </c>
      <c r="N74">
        <f>IF(OR(ISBLANK(Table1[[#This Row],[ميعاد الطلب]]), ISBLANK(Table1[[#This Row],[ميعاد التسليم]])), 0, Table1[[#This Row],[ميعاد التسليم]] - Table1[[#This Row],[ميعاد الطلب]])</f>
        <v>21</v>
      </c>
      <c r="O74">
        <f>IF(OR(ISBLANK(Table1[[#This Row],[ميعاد الطلب]]), ISBLANK(Table1[[#This Row],[تاريخ التسليم]])), 0, Table1[[#This Row],[تاريخ التسليم]] - Table1[[#This Row],[ميعاد الطلب]])</f>
        <v>23</v>
      </c>
      <c r="P74">
        <f>IF(Table1[[#This Row],[مدة التسليم (الهدف)]] &lt;=Table1[[#This Row],[مدة التسليم (الفعلي)]], 0,1)</f>
        <v>0</v>
      </c>
      <c r="Q74" s="15">
        <v>45575</v>
      </c>
      <c r="R74" s="15">
        <v>45596</v>
      </c>
      <c r="S74" s="15">
        <v>45598</v>
      </c>
      <c r="T74" t="s">
        <v>178</v>
      </c>
      <c r="U74" t="s">
        <v>177</v>
      </c>
    </row>
    <row r="75" spans="1:21" ht="20.100000000000001" customHeight="1" x14ac:dyDescent="0.3">
      <c r="A75" t="s">
        <v>197</v>
      </c>
      <c r="B75"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75" t="s">
        <v>97</v>
      </c>
      <c r="D75" t="s">
        <v>263</v>
      </c>
      <c r="E75" t="s">
        <v>6</v>
      </c>
      <c r="F75" t="s">
        <v>143</v>
      </c>
      <c r="G75" t="s">
        <v>155</v>
      </c>
      <c r="H75" t="s">
        <v>145</v>
      </c>
      <c r="I75">
        <v>100</v>
      </c>
      <c r="J75" t="s">
        <v>198</v>
      </c>
      <c r="K75"/>
      <c r="L75">
        <v>12899</v>
      </c>
      <c r="M75" t="s">
        <v>274</v>
      </c>
      <c r="N75">
        <f>IF(OR(ISBLANK(Table1[[#This Row],[ميعاد الطلب]]), ISBLANK(Table1[[#This Row],[ميعاد التسليم]])), 0, Table1[[#This Row],[ميعاد التسليم]] - Table1[[#This Row],[ميعاد الطلب]])</f>
        <v>65</v>
      </c>
      <c r="O75">
        <f>IF(OR(ISBLANK(Table1[[#This Row],[ميعاد الطلب]]), ISBLANK(Table1[[#This Row],[تاريخ التسليم]])), 0, Table1[[#This Row],[تاريخ التسليم]] - Table1[[#This Row],[ميعاد الطلب]])</f>
        <v>20</v>
      </c>
      <c r="P75">
        <f>IF(Table1[[#This Row],[مدة التسليم (الهدف)]] &lt;=Table1[[#This Row],[مدة التسليم (الفعلي)]], 0,1)</f>
        <v>1</v>
      </c>
      <c r="Q75" s="15">
        <v>45578</v>
      </c>
      <c r="R75" s="15">
        <v>45643</v>
      </c>
      <c r="S75" s="15">
        <v>45598</v>
      </c>
      <c r="T75" t="s">
        <v>178</v>
      </c>
      <c r="U75" t="s">
        <v>177</v>
      </c>
    </row>
    <row r="76" spans="1:21" ht="20.100000000000001" customHeight="1" x14ac:dyDescent="0.3">
      <c r="A76" t="s">
        <v>199</v>
      </c>
      <c r="B76"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76" t="s">
        <v>45</v>
      </c>
      <c r="D76" t="s">
        <v>263</v>
      </c>
      <c r="E76" t="s">
        <v>6</v>
      </c>
      <c r="F76" t="s">
        <v>143</v>
      </c>
      <c r="G76" t="s">
        <v>155</v>
      </c>
      <c r="H76" t="s">
        <v>147</v>
      </c>
      <c r="I76">
        <v>80</v>
      </c>
      <c r="J76" t="s">
        <v>156</v>
      </c>
      <c r="K76"/>
      <c r="L76">
        <v>10499</v>
      </c>
      <c r="M76" t="s">
        <v>14</v>
      </c>
      <c r="N76">
        <f>IF(OR(ISBLANK(Table1[[#This Row],[ميعاد الطلب]]), ISBLANK(Table1[[#This Row],[ميعاد التسليم]])), 0, Table1[[#This Row],[ميعاد التسليم]] - Table1[[#This Row],[ميعاد الطلب]])</f>
        <v>64</v>
      </c>
      <c r="O76">
        <f>IF(OR(ISBLANK(Table1[[#This Row],[ميعاد الطلب]]), ISBLANK(Table1[[#This Row],[تاريخ التسليم]])), 0, Table1[[#This Row],[تاريخ التسليم]] - Table1[[#This Row],[ميعاد الطلب]])</f>
        <v>5</v>
      </c>
      <c r="P76">
        <f>IF(Table1[[#This Row],[مدة التسليم (الهدف)]] &lt;=Table1[[#This Row],[مدة التسليم (الفعلي)]], 0,1)</f>
        <v>1</v>
      </c>
      <c r="Q76" s="15">
        <v>45581</v>
      </c>
      <c r="R76" s="15">
        <v>45645</v>
      </c>
      <c r="S76" s="15">
        <v>45586</v>
      </c>
      <c r="T76" t="s">
        <v>178</v>
      </c>
      <c r="U76" t="s">
        <v>177</v>
      </c>
    </row>
    <row r="77" spans="1:21" ht="20.100000000000001" customHeight="1" x14ac:dyDescent="0.3">
      <c r="A77" t="s">
        <v>200</v>
      </c>
      <c r="B77"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77" t="s">
        <v>201</v>
      </c>
      <c r="D77" t="s">
        <v>267</v>
      </c>
      <c r="E77" t="s">
        <v>6</v>
      </c>
      <c r="F77" t="s">
        <v>143</v>
      </c>
      <c r="G77" t="s">
        <v>155</v>
      </c>
      <c r="H77" t="s">
        <v>145</v>
      </c>
      <c r="I77">
        <v>140</v>
      </c>
      <c r="J77" t="s">
        <v>198</v>
      </c>
      <c r="K77"/>
      <c r="L77">
        <v>12899</v>
      </c>
      <c r="M77" t="s">
        <v>14</v>
      </c>
      <c r="N77">
        <f>IF(OR(ISBLANK(Table1[[#This Row],[ميعاد الطلب]]), ISBLANK(Table1[[#This Row],[ميعاد التسليم]])), 0, Table1[[#This Row],[ميعاد التسليم]] - Table1[[#This Row],[ميعاد الطلب]])</f>
        <v>66</v>
      </c>
      <c r="O77">
        <f>IF(OR(ISBLANK(Table1[[#This Row],[ميعاد الطلب]]), ISBLANK(Table1[[#This Row],[تاريخ التسليم]])), 0, Table1[[#This Row],[تاريخ التسليم]] - Table1[[#This Row],[ميعاد الطلب]])</f>
        <v>47</v>
      </c>
      <c r="P77">
        <f>IF(Table1[[#This Row],[مدة التسليم (الهدف)]] &lt;=Table1[[#This Row],[مدة التسليم (الفعلي)]], 0,1)</f>
        <v>1</v>
      </c>
      <c r="Q77" s="15">
        <v>45582</v>
      </c>
      <c r="R77" s="15">
        <v>45648</v>
      </c>
      <c r="S77" s="15">
        <v>45629</v>
      </c>
      <c r="T77" t="s">
        <v>24</v>
      </c>
      <c r="U77" t="s">
        <v>177</v>
      </c>
    </row>
    <row r="78" spans="1:21" ht="20.100000000000001" customHeight="1" x14ac:dyDescent="0.3">
      <c r="A78" t="s">
        <v>202</v>
      </c>
      <c r="B78"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78" t="s">
        <v>203</v>
      </c>
      <c r="D78" t="s">
        <v>266</v>
      </c>
      <c r="E78" t="s">
        <v>214</v>
      </c>
      <c r="F78" t="s">
        <v>143</v>
      </c>
      <c r="G78" t="s">
        <v>222</v>
      </c>
      <c r="H78" t="s">
        <v>204</v>
      </c>
      <c r="I78">
        <v>140</v>
      </c>
      <c r="J78" t="s">
        <v>190</v>
      </c>
      <c r="K78"/>
      <c r="L78">
        <v>5135</v>
      </c>
      <c r="M78" t="s">
        <v>14</v>
      </c>
      <c r="N78">
        <f>IF(OR(ISBLANK(Table1[[#This Row],[ميعاد الطلب]]), ISBLANK(Table1[[#This Row],[ميعاد التسليم]])), 0, Table1[[#This Row],[ميعاد التسليم]] - Table1[[#This Row],[ميعاد الطلب]])</f>
        <v>28</v>
      </c>
      <c r="O78">
        <f>IF(OR(ISBLANK(Table1[[#This Row],[ميعاد الطلب]]), ISBLANK(Table1[[#This Row],[تاريخ التسليم]])), 0, Table1[[#This Row],[تاريخ التسليم]] - Table1[[#This Row],[ميعاد الطلب]])</f>
        <v>25</v>
      </c>
      <c r="P78">
        <f>IF(Table1[[#This Row],[مدة التسليم (الهدف)]] &lt;=Table1[[#This Row],[مدة التسليم (الفعلي)]], 0,1)</f>
        <v>1</v>
      </c>
      <c r="Q78" s="15">
        <v>45585</v>
      </c>
      <c r="R78" s="15">
        <v>45613</v>
      </c>
      <c r="S78" s="15">
        <v>45610</v>
      </c>
      <c r="T78" t="s">
        <v>178</v>
      </c>
      <c r="U78" t="s">
        <v>177</v>
      </c>
    </row>
    <row r="79" spans="1:21" ht="20.100000000000001" customHeight="1" x14ac:dyDescent="0.3">
      <c r="A79" t="s">
        <v>27</v>
      </c>
      <c r="B79"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79" t="s">
        <v>183</v>
      </c>
      <c r="D79" t="s">
        <v>265</v>
      </c>
      <c r="E79" t="s">
        <v>48</v>
      </c>
      <c r="F79" t="s">
        <v>143</v>
      </c>
      <c r="G79" t="s">
        <v>155</v>
      </c>
      <c r="H79" t="s">
        <v>205</v>
      </c>
      <c r="I79">
        <v>100</v>
      </c>
      <c r="J79" t="s">
        <v>206</v>
      </c>
      <c r="K79"/>
      <c r="L79">
        <v>12777.5</v>
      </c>
      <c r="M79" t="s">
        <v>274</v>
      </c>
      <c r="N79">
        <f>IF(OR(ISBLANK(Table1[[#This Row],[ميعاد الطلب]]), ISBLANK(Table1[[#This Row],[ميعاد التسليم]])), 0, Table1[[#This Row],[ميعاد التسليم]] - Table1[[#This Row],[ميعاد الطلب]])</f>
        <v>21</v>
      </c>
      <c r="O79">
        <f>IF(OR(ISBLANK(Table1[[#This Row],[ميعاد الطلب]]), ISBLANK(Table1[[#This Row],[تاريخ التسليم]])), 0, Table1[[#This Row],[تاريخ التسليم]] - Table1[[#This Row],[ميعاد الطلب]])</f>
        <v>27</v>
      </c>
      <c r="P79">
        <f>IF(Table1[[#This Row],[مدة التسليم (الهدف)]] &lt;=Table1[[#This Row],[مدة التسليم (الفعلي)]], 0,1)</f>
        <v>0</v>
      </c>
      <c r="Q79" s="15">
        <v>45587</v>
      </c>
      <c r="R79" s="15">
        <v>45608</v>
      </c>
      <c r="S79" s="15">
        <v>45614</v>
      </c>
      <c r="T79" t="s">
        <v>178</v>
      </c>
      <c r="U79" t="s">
        <v>177</v>
      </c>
    </row>
    <row r="80" spans="1:21" ht="20.100000000000001" customHeight="1" x14ac:dyDescent="0.3">
      <c r="A80" t="s">
        <v>78</v>
      </c>
      <c r="B80"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80" t="s">
        <v>207</v>
      </c>
      <c r="D80" t="s">
        <v>263</v>
      </c>
      <c r="E80" t="s">
        <v>52</v>
      </c>
      <c r="F80" t="s">
        <v>143</v>
      </c>
      <c r="G80" t="s">
        <v>155</v>
      </c>
      <c r="H80" t="s">
        <v>205</v>
      </c>
      <c r="I80">
        <v>100</v>
      </c>
      <c r="J80" t="s">
        <v>206</v>
      </c>
      <c r="K80"/>
      <c r="L80">
        <v>8544.91</v>
      </c>
      <c r="M80" t="s">
        <v>80</v>
      </c>
      <c r="N80">
        <f>IF(OR(ISBLANK(Table1[[#This Row],[ميعاد الطلب]]), ISBLANK(Table1[[#This Row],[ميعاد التسليم]])), 0, Table1[[#This Row],[ميعاد التسليم]] - Table1[[#This Row],[ميعاد الطلب]])</f>
        <v>0</v>
      </c>
      <c r="O80">
        <f>IF(OR(ISBLANK(Table1[[#This Row],[ميعاد الطلب]]), ISBLANK(Table1[[#This Row],[تاريخ التسليم]])), 0, Table1[[#This Row],[تاريخ التسليم]] - Table1[[#This Row],[ميعاد الطلب]])</f>
        <v>0</v>
      </c>
      <c r="P80">
        <f>IF(Table1[[#This Row],[مدة التسليم (الهدف)]] &lt;=Table1[[#This Row],[مدة التسليم (الفعلي)]], 0,1)</f>
        <v>0</v>
      </c>
      <c r="Q80" s="15">
        <v>45587</v>
      </c>
      <c r="R80" s="15"/>
      <c r="T80"/>
      <c r="U80" t="s">
        <v>175</v>
      </c>
    </row>
    <row r="81" spans="1:21" ht="20.100000000000001" customHeight="1" x14ac:dyDescent="0.3">
      <c r="A81" t="s">
        <v>208</v>
      </c>
      <c r="B81"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81" t="s">
        <v>209</v>
      </c>
      <c r="D81" t="s">
        <v>265</v>
      </c>
      <c r="E81" t="s">
        <v>6</v>
      </c>
      <c r="F81" t="s">
        <v>143</v>
      </c>
      <c r="G81" t="s">
        <v>222</v>
      </c>
      <c r="H81" t="s">
        <v>166</v>
      </c>
      <c r="I81">
        <v>120</v>
      </c>
      <c r="J81" t="s">
        <v>156</v>
      </c>
      <c r="K81"/>
      <c r="L81">
        <v>8943</v>
      </c>
      <c r="M81" t="s">
        <v>274</v>
      </c>
      <c r="N81">
        <f>IF(OR(ISBLANK(Table1[[#This Row],[ميعاد الطلب]]), ISBLANK(Table1[[#This Row],[ميعاد التسليم]])), 0, Table1[[#This Row],[ميعاد التسليم]] - Table1[[#This Row],[ميعاد الطلب]])</f>
        <v>24</v>
      </c>
      <c r="O81">
        <f>IF(OR(ISBLANK(Table1[[#This Row],[ميعاد الطلب]]), ISBLANK(Table1[[#This Row],[تاريخ التسليم]])), 0, Table1[[#This Row],[تاريخ التسليم]] - Table1[[#This Row],[ميعاد الطلب]])</f>
        <v>28</v>
      </c>
      <c r="P81">
        <f>IF(Table1[[#This Row],[مدة التسليم (الهدف)]] &lt;=Table1[[#This Row],[مدة التسليم (الفعلي)]], 0,1)</f>
        <v>0</v>
      </c>
      <c r="Q81" s="15">
        <v>45586</v>
      </c>
      <c r="R81" s="15">
        <v>45610</v>
      </c>
      <c r="S81" s="15">
        <v>45614</v>
      </c>
      <c r="T81" t="s">
        <v>178</v>
      </c>
      <c r="U81" t="s">
        <v>177</v>
      </c>
    </row>
    <row r="82" spans="1:21" ht="20.100000000000001" customHeight="1" x14ac:dyDescent="0.3">
      <c r="A82" t="s">
        <v>27</v>
      </c>
      <c r="B82"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82"/>
      <c r="D82" t="s">
        <v>266</v>
      </c>
      <c r="E82" t="s">
        <v>48</v>
      </c>
      <c r="F82" t="s">
        <v>152</v>
      </c>
      <c r="G82" t="s">
        <v>154</v>
      </c>
      <c r="H82" s="1" t="s">
        <v>266</v>
      </c>
      <c r="I82">
        <v>0</v>
      </c>
      <c r="J82" t="s">
        <v>157</v>
      </c>
      <c r="K82"/>
      <c r="L82">
        <v>15516</v>
      </c>
      <c r="M82" t="s">
        <v>14</v>
      </c>
      <c r="N82">
        <f>IF(OR(ISBLANK(Table1[[#This Row],[ميعاد الطلب]]), ISBLANK(Table1[[#This Row],[ميعاد التسليم]])), 0, Table1[[#This Row],[ميعاد التسليم]] - Table1[[#This Row],[ميعاد الطلب]])</f>
        <v>21</v>
      </c>
      <c r="O82">
        <f>IF(OR(ISBLANK(Table1[[#This Row],[ميعاد الطلب]]), ISBLANK(Table1[[#This Row],[تاريخ التسليم]])), 0, Table1[[#This Row],[تاريخ التسليم]] - Table1[[#This Row],[ميعاد الطلب]])</f>
        <v>6</v>
      </c>
      <c r="P82">
        <f>IF(Table1[[#This Row],[مدة التسليم (الهدف)]] &lt;=Table1[[#This Row],[مدة التسليم (الفعلي)]], 0,1)</f>
        <v>1</v>
      </c>
      <c r="Q82" s="15">
        <v>45589</v>
      </c>
      <c r="R82" s="15">
        <v>45610</v>
      </c>
      <c r="S82" s="15">
        <v>45595</v>
      </c>
      <c r="T82" t="s">
        <v>178</v>
      </c>
      <c r="U82" t="s">
        <v>177</v>
      </c>
    </row>
    <row r="83" spans="1:21" ht="20.100000000000001" customHeight="1" x14ac:dyDescent="0.3">
      <c r="A83" t="s">
        <v>27</v>
      </c>
      <c r="B83"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83"/>
      <c r="D83" t="s">
        <v>266</v>
      </c>
      <c r="E83" t="s">
        <v>48</v>
      </c>
      <c r="F83" t="s">
        <v>143</v>
      </c>
      <c r="G83" t="s">
        <v>155</v>
      </c>
      <c r="H83" t="s">
        <v>146</v>
      </c>
      <c r="I83">
        <v>100</v>
      </c>
      <c r="J83" t="s">
        <v>157</v>
      </c>
      <c r="K83"/>
      <c r="L83">
        <v>10045</v>
      </c>
      <c r="M83" t="s">
        <v>274</v>
      </c>
      <c r="N83">
        <f>IF(OR(ISBLANK(Table1[[#This Row],[ميعاد الطلب]]), ISBLANK(Table1[[#This Row],[ميعاد التسليم]])), 0, Table1[[#This Row],[ميعاد التسليم]] - Table1[[#This Row],[ميعاد الطلب]])</f>
        <v>21</v>
      </c>
      <c r="O83">
        <f>IF(OR(ISBLANK(Table1[[#This Row],[ميعاد الطلب]]), ISBLANK(Table1[[#This Row],[تاريخ التسليم]])), 0, Table1[[#This Row],[تاريخ التسليم]] - Table1[[#This Row],[ميعاد الطلب]])</f>
        <v>0</v>
      </c>
      <c r="P83">
        <f>IF(Table1[[#This Row],[مدة التسليم (الهدف)]] &lt;=Table1[[#This Row],[مدة التسليم (الفعلي)]], 0,1)</f>
        <v>1</v>
      </c>
      <c r="Q83" s="15">
        <v>45591</v>
      </c>
      <c r="R83" s="15">
        <v>45612</v>
      </c>
      <c r="T83"/>
      <c r="U83" t="s">
        <v>175</v>
      </c>
    </row>
    <row r="84" spans="1:21" ht="20.100000000000001" customHeight="1" x14ac:dyDescent="0.3">
      <c r="A84" t="s">
        <v>125</v>
      </c>
      <c r="B84"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84" t="s">
        <v>210</v>
      </c>
      <c r="D84" t="s">
        <v>265</v>
      </c>
      <c r="E84" t="s">
        <v>6</v>
      </c>
      <c r="F84" t="s">
        <v>143</v>
      </c>
      <c r="G84" t="s">
        <v>155</v>
      </c>
      <c r="H84" t="s">
        <v>146</v>
      </c>
      <c r="I84">
        <v>90</v>
      </c>
      <c r="J84" t="s">
        <v>157</v>
      </c>
      <c r="K84"/>
      <c r="L84">
        <v>11649</v>
      </c>
      <c r="M84" t="s">
        <v>274</v>
      </c>
      <c r="N84">
        <f>IF(OR(ISBLANK(Table1[[#This Row],[ميعاد الطلب]]), ISBLANK(Table1[[#This Row],[ميعاد التسليم]])), 0, Table1[[#This Row],[ميعاد التسليم]] - Table1[[#This Row],[ميعاد الطلب]])</f>
        <v>15</v>
      </c>
      <c r="O84">
        <f>IF(OR(ISBLANK(Table1[[#This Row],[ميعاد الطلب]]), ISBLANK(Table1[[#This Row],[تاريخ التسليم]])), 0, Table1[[#This Row],[تاريخ التسليم]] - Table1[[#This Row],[ميعاد الطلب]])</f>
        <v>23</v>
      </c>
      <c r="P84">
        <f>IF(Table1[[#This Row],[مدة التسليم (الهدف)]] &lt;=Table1[[#This Row],[مدة التسليم (الفعلي)]], 0,1)</f>
        <v>0</v>
      </c>
      <c r="Q84" s="15">
        <v>45591</v>
      </c>
      <c r="R84" s="15">
        <v>45606</v>
      </c>
      <c r="S84" s="15">
        <v>45614</v>
      </c>
      <c r="T84" t="s">
        <v>178</v>
      </c>
      <c r="U84" t="s">
        <v>177</v>
      </c>
    </row>
    <row r="85" spans="1:21" ht="20.100000000000001" customHeight="1" x14ac:dyDescent="0.3">
      <c r="A85" t="s">
        <v>211</v>
      </c>
      <c r="B85"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85" t="s">
        <v>102</v>
      </c>
      <c r="D85" t="s">
        <v>263</v>
      </c>
      <c r="E85" t="s">
        <v>6</v>
      </c>
      <c r="F85" t="s">
        <v>143</v>
      </c>
      <c r="G85" t="s">
        <v>222</v>
      </c>
      <c r="H85" t="s">
        <v>148</v>
      </c>
      <c r="I85">
        <v>100</v>
      </c>
      <c r="J85" t="s">
        <v>156</v>
      </c>
      <c r="K85"/>
      <c r="L85">
        <v>5100</v>
      </c>
      <c r="M85" t="s">
        <v>274</v>
      </c>
      <c r="N85">
        <f>IF(OR(ISBLANK(Table1[[#This Row],[ميعاد الطلب]]), ISBLANK(Table1[[#This Row],[ميعاد التسليم]])), 0, Table1[[#This Row],[ميعاد التسليم]] - Table1[[#This Row],[ميعاد الطلب]])</f>
        <v>14</v>
      </c>
      <c r="O85">
        <f>IF(OR(ISBLANK(Table1[[#This Row],[ميعاد الطلب]]), ISBLANK(Table1[[#This Row],[تاريخ التسليم]])), 0, Table1[[#This Row],[تاريخ التسليم]] - Table1[[#This Row],[ميعاد الطلب]])</f>
        <v>24</v>
      </c>
      <c r="P85">
        <f>IF(Table1[[#This Row],[مدة التسليم (الهدف)]] &lt;=Table1[[#This Row],[مدة التسليم (الفعلي)]], 0,1)</f>
        <v>0</v>
      </c>
      <c r="Q85" s="15">
        <v>45593</v>
      </c>
      <c r="R85" s="15">
        <v>45607</v>
      </c>
      <c r="S85" s="15">
        <v>45617</v>
      </c>
      <c r="T85" t="s">
        <v>178</v>
      </c>
      <c r="U85" t="s">
        <v>177</v>
      </c>
    </row>
    <row r="86" spans="1:21" ht="20.100000000000001" customHeight="1" x14ac:dyDescent="0.3">
      <c r="A86" t="s">
        <v>211</v>
      </c>
      <c r="B86"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86" t="s">
        <v>102</v>
      </c>
      <c r="D86" t="s">
        <v>263</v>
      </c>
      <c r="E86" t="s">
        <v>6</v>
      </c>
      <c r="F86" t="s">
        <v>143</v>
      </c>
      <c r="G86" t="s">
        <v>222</v>
      </c>
      <c r="H86" t="s">
        <v>148</v>
      </c>
      <c r="I86">
        <v>120</v>
      </c>
      <c r="J86" t="s">
        <v>156</v>
      </c>
      <c r="K86"/>
      <c r="L86">
        <v>5300</v>
      </c>
      <c r="M86" t="s">
        <v>274</v>
      </c>
      <c r="N86">
        <f>IF(OR(ISBLANK(Table1[[#This Row],[ميعاد الطلب]]), ISBLANK(Table1[[#This Row],[ميعاد التسليم]])), 0, Table1[[#This Row],[ميعاد التسليم]] - Table1[[#This Row],[ميعاد الطلب]])</f>
        <v>14</v>
      </c>
      <c r="O86">
        <f>IF(OR(ISBLANK(Table1[[#This Row],[ميعاد الطلب]]), ISBLANK(Table1[[#This Row],[تاريخ التسليم]])), 0, Table1[[#This Row],[تاريخ التسليم]] - Table1[[#This Row],[ميعاد الطلب]])</f>
        <v>24</v>
      </c>
      <c r="P86">
        <f>IF(Table1[[#This Row],[مدة التسليم (الهدف)]] &lt;=Table1[[#This Row],[مدة التسليم (الفعلي)]], 0,1)</f>
        <v>0</v>
      </c>
      <c r="Q86" s="15">
        <v>45593</v>
      </c>
      <c r="R86" s="15">
        <v>45607</v>
      </c>
      <c r="S86" s="15">
        <v>45617</v>
      </c>
      <c r="T86" t="s">
        <v>178</v>
      </c>
      <c r="U86" t="s">
        <v>177</v>
      </c>
    </row>
    <row r="87" spans="1:21" ht="20.100000000000001" customHeight="1" x14ac:dyDescent="0.3">
      <c r="A87" t="s">
        <v>212</v>
      </c>
      <c r="B87"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87" t="s">
        <v>215</v>
      </c>
      <c r="D87" t="s">
        <v>263</v>
      </c>
      <c r="E87" t="s">
        <v>6</v>
      </c>
      <c r="F87" t="s">
        <v>143</v>
      </c>
      <c r="G87" t="s">
        <v>155</v>
      </c>
      <c r="H87" t="s">
        <v>147</v>
      </c>
      <c r="I87">
        <v>80</v>
      </c>
      <c r="J87" t="s">
        <v>156</v>
      </c>
      <c r="K87"/>
      <c r="L87">
        <v>12099</v>
      </c>
      <c r="M87" t="s">
        <v>14</v>
      </c>
      <c r="N87">
        <f>IF(OR(ISBLANK(Table1[[#This Row],[ميعاد الطلب]]), ISBLANK(Table1[[#This Row],[ميعاد التسليم]])), 0, Table1[[#This Row],[ميعاد التسليم]] - Table1[[#This Row],[ميعاد الطلب]])</f>
        <v>15</v>
      </c>
      <c r="O87">
        <f>IF(OR(ISBLANK(Table1[[#This Row],[ميعاد الطلب]]), ISBLANK(Table1[[#This Row],[تاريخ التسليم]])), 0, Table1[[#This Row],[تاريخ التسليم]] - Table1[[#This Row],[ميعاد الطلب]])</f>
        <v>16</v>
      </c>
      <c r="P87">
        <f>IF(Table1[[#This Row],[مدة التسليم (الهدف)]] &lt;=Table1[[#This Row],[مدة التسليم (الفعلي)]], 0,1)</f>
        <v>0</v>
      </c>
      <c r="Q87" s="15">
        <v>45607</v>
      </c>
      <c r="R87" s="15">
        <v>45622</v>
      </c>
      <c r="S87" s="15">
        <v>45623</v>
      </c>
      <c r="T87" t="s">
        <v>178</v>
      </c>
      <c r="U87" t="s">
        <v>177</v>
      </c>
    </row>
    <row r="88" spans="1:21" ht="20.100000000000001" customHeight="1" x14ac:dyDescent="0.3">
      <c r="A88" t="s">
        <v>48</v>
      </c>
      <c r="B88"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88" t="s">
        <v>193</v>
      </c>
      <c r="D88" t="s">
        <v>266</v>
      </c>
      <c r="E88" t="s">
        <v>48</v>
      </c>
      <c r="F88" t="s">
        <v>152</v>
      </c>
      <c r="G88" t="s">
        <v>154</v>
      </c>
      <c r="H88" t="s">
        <v>213</v>
      </c>
      <c r="I88">
        <v>0</v>
      </c>
      <c r="J88" t="s">
        <v>157</v>
      </c>
      <c r="K88"/>
      <c r="L88">
        <v>15872</v>
      </c>
      <c r="M88" t="s">
        <v>14</v>
      </c>
      <c r="N88">
        <f>IF(OR(ISBLANK(Table1[[#This Row],[ميعاد الطلب]]), ISBLANK(Table1[[#This Row],[ميعاد التسليم]])), 0, Table1[[#This Row],[ميعاد التسليم]] - Table1[[#This Row],[ميعاد الطلب]])</f>
        <v>4</v>
      </c>
      <c r="O88">
        <f>IF(OR(ISBLANK(Table1[[#This Row],[ميعاد الطلب]]), ISBLANK(Table1[[#This Row],[تاريخ التسليم]])), 0, Table1[[#This Row],[تاريخ التسليم]] - Table1[[#This Row],[ميعاد الطلب]])</f>
        <v>6</v>
      </c>
      <c r="P88">
        <f>IF(Table1[[#This Row],[مدة التسليم (الهدف)]] &lt;=Table1[[#This Row],[مدة التسليم (الفعلي)]], 0,1)</f>
        <v>0</v>
      </c>
      <c r="Q88" s="15">
        <v>45604</v>
      </c>
      <c r="R88" s="15">
        <v>45608</v>
      </c>
      <c r="S88" s="15">
        <v>45610</v>
      </c>
      <c r="T88" t="s">
        <v>178</v>
      </c>
      <c r="U88" t="s">
        <v>177</v>
      </c>
    </row>
    <row r="89" spans="1:21" ht="20.100000000000001" customHeight="1" x14ac:dyDescent="0.3">
      <c r="A89" t="s">
        <v>214</v>
      </c>
      <c r="B89"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89" t="s">
        <v>30</v>
      </c>
      <c r="D89" t="s">
        <v>263</v>
      </c>
      <c r="E89" t="s">
        <v>214</v>
      </c>
      <c r="F89" t="s">
        <v>143</v>
      </c>
      <c r="G89" t="s">
        <v>222</v>
      </c>
      <c r="H89" t="s">
        <v>166</v>
      </c>
      <c r="I89">
        <v>120</v>
      </c>
      <c r="J89" t="s">
        <v>156</v>
      </c>
      <c r="K89"/>
      <c r="L89">
        <v>4520</v>
      </c>
      <c r="M89" t="s">
        <v>80</v>
      </c>
      <c r="N89">
        <f>IF(OR(ISBLANK(Table1[[#This Row],[ميعاد الطلب]]), ISBLANK(Table1[[#This Row],[ميعاد التسليم]])), 0, Table1[[#This Row],[ميعاد التسليم]] - Table1[[#This Row],[ميعاد الطلب]])</f>
        <v>12</v>
      </c>
      <c r="O89">
        <f>IF(OR(ISBLANK(Table1[[#This Row],[ميعاد الطلب]]), ISBLANK(Table1[[#This Row],[تاريخ التسليم]])), 0, Table1[[#This Row],[تاريخ التسليم]] - Table1[[#This Row],[ميعاد الطلب]])</f>
        <v>11</v>
      </c>
      <c r="P89">
        <f>IF(Table1[[#This Row],[مدة التسليم (الهدف)]] &lt;=Table1[[#This Row],[مدة التسليم (الفعلي)]], 0,1)</f>
        <v>1</v>
      </c>
      <c r="Q89" s="15">
        <v>45606</v>
      </c>
      <c r="R89" s="15">
        <v>45618</v>
      </c>
      <c r="S89" s="15">
        <v>45617</v>
      </c>
      <c r="T89" t="s">
        <v>178</v>
      </c>
      <c r="U89" t="s">
        <v>177</v>
      </c>
    </row>
    <row r="90" spans="1:21" ht="20.100000000000001" customHeight="1" x14ac:dyDescent="0.3">
      <c r="A90" t="s">
        <v>78</v>
      </c>
      <c r="B90"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90" t="s">
        <v>179</v>
      </c>
      <c r="D90" t="s">
        <v>264</v>
      </c>
      <c r="E90" t="s">
        <v>52</v>
      </c>
      <c r="F90" t="s">
        <v>143</v>
      </c>
      <c r="G90" t="s">
        <v>155</v>
      </c>
      <c r="H90" t="s">
        <v>146</v>
      </c>
      <c r="I90">
        <v>90</v>
      </c>
      <c r="J90" t="s">
        <v>157</v>
      </c>
      <c r="K90"/>
      <c r="L90">
        <v>5766</v>
      </c>
      <c r="M90" t="s">
        <v>80</v>
      </c>
      <c r="N90">
        <f>IF(OR(ISBLANK(Table1[[#This Row],[ميعاد الطلب]]), ISBLANK(Table1[[#This Row],[ميعاد التسليم]])), 0, Table1[[#This Row],[ميعاد التسليم]] - Table1[[#This Row],[ميعاد الطلب]])</f>
        <v>14</v>
      </c>
      <c r="O90">
        <f>IF(OR(ISBLANK(Table1[[#This Row],[ميعاد الطلب]]), ISBLANK(Table1[[#This Row],[تاريخ التسليم]])), 0, Table1[[#This Row],[تاريخ التسليم]] - Table1[[#This Row],[ميعاد الطلب]])</f>
        <v>13</v>
      </c>
      <c r="P90">
        <f>IF(Table1[[#This Row],[مدة التسليم (الهدف)]] &lt;=Table1[[#This Row],[مدة التسليم (الفعلي)]], 0,1)</f>
        <v>1</v>
      </c>
      <c r="Q90" s="15">
        <v>45608</v>
      </c>
      <c r="R90" s="15">
        <v>45622</v>
      </c>
      <c r="S90" s="15">
        <v>45621</v>
      </c>
      <c r="T90" t="s">
        <v>178</v>
      </c>
      <c r="U90" t="s">
        <v>177</v>
      </c>
    </row>
    <row r="91" spans="1:21" ht="20.100000000000001" customHeight="1" x14ac:dyDescent="0.3">
      <c r="A91" t="s">
        <v>216</v>
      </c>
      <c r="B91"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91" t="s">
        <v>102</v>
      </c>
      <c r="D91" t="s">
        <v>263</v>
      </c>
      <c r="E91" t="s">
        <v>6</v>
      </c>
      <c r="F91" t="s">
        <v>143</v>
      </c>
      <c r="G91" t="s">
        <v>222</v>
      </c>
      <c r="H91" t="s">
        <v>166</v>
      </c>
      <c r="I91">
        <v>160</v>
      </c>
      <c r="J91" t="s">
        <v>162</v>
      </c>
      <c r="K91"/>
      <c r="L91">
        <v>11395</v>
      </c>
      <c r="M91" t="s">
        <v>14</v>
      </c>
      <c r="N91">
        <f>IF(OR(ISBLANK(Table1[[#This Row],[ميعاد الطلب]]), ISBLANK(Table1[[#This Row],[ميعاد التسليم]])), 0, Table1[[#This Row],[ميعاد التسليم]] - Table1[[#This Row],[ميعاد الطلب]])</f>
        <v>12</v>
      </c>
      <c r="O91">
        <f>IF(OR(ISBLANK(Table1[[#This Row],[ميعاد الطلب]]), ISBLANK(Table1[[#This Row],[تاريخ التسليم]])), 0, Table1[[#This Row],[تاريخ التسليم]] - Table1[[#This Row],[ميعاد الطلب]])</f>
        <v>15</v>
      </c>
      <c r="P91">
        <f>IF(Table1[[#This Row],[مدة التسليم (الهدف)]] &lt;=Table1[[#This Row],[مدة التسليم (الفعلي)]], 0,1)</f>
        <v>0</v>
      </c>
      <c r="Q91" s="15">
        <v>45608</v>
      </c>
      <c r="R91" s="15">
        <v>45620</v>
      </c>
      <c r="S91" s="15">
        <v>45623</v>
      </c>
      <c r="T91" t="s">
        <v>178</v>
      </c>
      <c r="U91" t="s">
        <v>177</v>
      </c>
    </row>
    <row r="92" spans="1:21" ht="20.100000000000001" customHeight="1" x14ac:dyDescent="0.3">
      <c r="A92" t="s">
        <v>217</v>
      </c>
      <c r="B92"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92" t="s">
        <v>30</v>
      </c>
      <c r="D92" t="s">
        <v>263</v>
      </c>
      <c r="E92" t="s">
        <v>6</v>
      </c>
      <c r="F92" t="s">
        <v>143</v>
      </c>
      <c r="G92" t="s">
        <v>155</v>
      </c>
      <c r="H92" t="s">
        <v>146</v>
      </c>
      <c r="I92">
        <v>80</v>
      </c>
      <c r="J92" t="s">
        <v>156</v>
      </c>
      <c r="K92"/>
      <c r="L92">
        <v>12919</v>
      </c>
      <c r="M92" t="s">
        <v>14</v>
      </c>
      <c r="N92">
        <f>IF(OR(ISBLANK(Table1[[#This Row],[ميعاد الطلب]]), ISBLANK(Table1[[#This Row],[ميعاد التسليم]])), 0, Table1[[#This Row],[ميعاد التسليم]] - Table1[[#This Row],[ميعاد الطلب]])</f>
        <v>16</v>
      </c>
      <c r="O92">
        <f>IF(OR(ISBLANK(Table1[[#This Row],[ميعاد الطلب]]), ISBLANK(Table1[[#This Row],[تاريخ التسليم]])), 0, Table1[[#This Row],[تاريخ التسليم]] - Table1[[#This Row],[ميعاد الطلب]])</f>
        <v>13</v>
      </c>
      <c r="P92">
        <f>IF(Table1[[#This Row],[مدة التسليم (الهدف)]] &lt;=Table1[[#This Row],[مدة التسليم (الفعلي)]], 0,1)</f>
        <v>1</v>
      </c>
      <c r="Q92" s="15">
        <v>45610</v>
      </c>
      <c r="R92" s="15">
        <v>45626</v>
      </c>
      <c r="S92" s="15">
        <v>45623</v>
      </c>
      <c r="T92" t="s">
        <v>178</v>
      </c>
      <c r="U92" t="s">
        <v>177</v>
      </c>
    </row>
    <row r="93" spans="1:21" ht="20.100000000000001" customHeight="1" x14ac:dyDescent="0.3">
      <c r="A93" t="s">
        <v>78</v>
      </c>
      <c r="B93"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93" t="s">
        <v>179</v>
      </c>
      <c r="D93" t="s">
        <v>264</v>
      </c>
      <c r="E93" t="s">
        <v>52</v>
      </c>
      <c r="F93" t="s">
        <v>143</v>
      </c>
      <c r="G93" t="s">
        <v>155</v>
      </c>
      <c r="H93" t="s">
        <v>145</v>
      </c>
      <c r="I93">
        <v>120</v>
      </c>
      <c r="J93" t="s">
        <v>161</v>
      </c>
      <c r="K93"/>
      <c r="L93">
        <v>6376</v>
      </c>
      <c r="M93" t="s">
        <v>80</v>
      </c>
      <c r="N93">
        <f>IF(OR(ISBLANK(Table1[[#This Row],[ميعاد الطلب]]), ISBLANK(Table1[[#This Row],[ميعاد التسليم]])), 0, Table1[[#This Row],[ميعاد التسليم]] - Table1[[#This Row],[ميعاد الطلب]])</f>
        <v>13</v>
      </c>
      <c r="O93">
        <f>IF(OR(ISBLANK(Table1[[#This Row],[ميعاد الطلب]]), ISBLANK(Table1[[#This Row],[تاريخ التسليم]])), 0, Table1[[#This Row],[تاريخ التسليم]] - Table1[[#This Row],[ميعاد الطلب]])</f>
        <v>11</v>
      </c>
      <c r="P93">
        <f>IF(Table1[[#This Row],[مدة التسليم (الهدف)]] &lt;=Table1[[#This Row],[مدة التسليم (الفعلي)]], 0,1)</f>
        <v>1</v>
      </c>
      <c r="Q93" s="15">
        <v>45610</v>
      </c>
      <c r="R93" s="15">
        <v>45623</v>
      </c>
      <c r="S93" s="15">
        <v>45621</v>
      </c>
      <c r="T93" t="s">
        <v>178</v>
      </c>
      <c r="U93" t="s">
        <v>177</v>
      </c>
    </row>
    <row r="94" spans="1:21" ht="20.100000000000001" customHeight="1" x14ac:dyDescent="0.3">
      <c r="A94" t="s">
        <v>78</v>
      </c>
      <c r="B94"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94" t="s">
        <v>218</v>
      </c>
      <c r="D94" t="s">
        <v>266</v>
      </c>
      <c r="E94" t="s">
        <v>52</v>
      </c>
      <c r="F94" t="s">
        <v>143</v>
      </c>
      <c r="G94" t="s">
        <v>155</v>
      </c>
      <c r="H94" t="s">
        <v>145</v>
      </c>
      <c r="I94">
        <v>90</v>
      </c>
      <c r="J94" t="s">
        <v>157</v>
      </c>
      <c r="K94"/>
      <c r="L94">
        <v>5294</v>
      </c>
      <c r="M94" t="s">
        <v>80</v>
      </c>
      <c r="N94">
        <f>IF(OR(ISBLANK(Table1[[#This Row],[ميعاد الطلب]]), ISBLANK(Table1[[#This Row],[ميعاد التسليم]])), 0, Table1[[#This Row],[ميعاد التسليم]] - Table1[[#This Row],[ميعاد الطلب]])</f>
        <v>13</v>
      </c>
      <c r="O94">
        <f>IF(OR(ISBLANK(Table1[[#This Row],[ميعاد الطلب]]), ISBLANK(Table1[[#This Row],[تاريخ التسليم]])), 0, Table1[[#This Row],[تاريخ التسليم]] - Table1[[#This Row],[ميعاد الطلب]])</f>
        <v>11</v>
      </c>
      <c r="P94">
        <f>IF(Table1[[#This Row],[مدة التسليم (الهدف)]] &lt;=Table1[[#This Row],[مدة التسليم (الفعلي)]], 0,1)</f>
        <v>1</v>
      </c>
      <c r="Q94" s="15">
        <v>45610</v>
      </c>
      <c r="R94" s="15">
        <v>45623</v>
      </c>
      <c r="S94" s="15">
        <v>45621</v>
      </c>
      <c r="T94" t="s">
        <v>178</v>
      </c>
      <c r="U94" t="s">
        <v>177</v>
      </c>
    </row>
    <row r="95" spans="1:21" ht="20.100000000000001" customHeight="1" x14ac:dyDescent="0.3">
      <c r="A95" t="s">
        <v>219</v>
      </c>
      <c r="B95"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95" t="s">
        <v>35</v>
      </c>
      <c r="D95" t="s">
        <v>265</v>
      </c>
      <c r="E95" t="s">
        <v>220</v>
      </c>
      <c r="F95" t="s">
        <v>143</v>
      </c>
      <c r="G95" t="s">
        <v>155</v>
      </c>
      <c r="H95" t="s">
        <v>147</v>
      </c>
      <c r="I95">
        <v>80</v>
      </c>
      <c r="J95" t="s">
        <v>156</v>
      </c>
      <c r="K95"/>
      <c r="L95">
        <v>7396</v>
      </c>
      <c r="M95" t="s">
        <v>14</v>
      </c>
      <c r="N95">
        <f>IF(OR(ISBLANK(Table1[[#This Row],[ميعاد الطلب]]), ISBLANK(Table1[[#This Row],[ميعاد التسليم]])), 0, Table1[[#This Row],[ميعاد التسليم]] - Table1[[#This Row],[ميعاد الطلب]])</f>
        <v>11</v>
      </c>
      <c r="O95">
        <f>IF(OR(ISBLANK(Table1[[#This Row],[ميعاد الطلب]]), ISBLANK(Table1[[#This Row],[تاريخ التسليم]])), 0, Table1[[#This Row],[تاريخ التسليم]] - Table1[[#This Row],[ميعاد الطلب]])</f>
        <v>9</v>
      </c>
      <c r="P95">
        <f>IF(Table1[[#This Row],[مدة التسليم (الهدف)]] &lt;=Table1[[#This Row],[مدة التسليم (الفعلي)]], 0,1)</f>
        <v>1</v>
      </c>
      <c r="Q95" s="15">
        <v>45613</v>
      </c>
      <c r="R95" s="15">
        <v>45624</v>
      </c>
      <c r="S95" s="15">
        <v>45622</v>
      </c>
      <c r="T95" t="s">
        <v>178</v>
      </c>
      <c r="U95" t="s">
        <v>177</v>
      </c>
    </row>
    <row r="96" spans="1:21" ht="20.100000000000001" customHeight="1" x14ac:dyDescent="0.3">
      <c r="A96" t="s">
        <v>125</v>
      </c>
      <c r="B96"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96" t="s">
        <v>221</v>
      </c>
      <c r="D96" t="s">
        <v>265</v>
      </c>
      <c r="E96" t="s">
        <v>6</v>
      </c>
      <c r="F96" t="s">
        <v>143</v>
      </c>
      <c r="G96" t="s">
        <v>155</v>
      </c>
      <c r="H96" t="s">
        <v>146</v>
      </c>
      <c r="I96">
        <v>90</v>
      </c>
      <c r="J96" t="s">
        <v>157</v>
      </c>
      <c r="K96"/>
      <c r="L96">
        <v>13439</v>
      </c>
      <c r="M96" t="s">
        <v>274</v>
      </c>
      <c r="N96">
        <f>IF(OR(ISBLANK(Table1[[#This Row],[ميعاد الطلب]]), ISBLANK(Table1[[#This Row],[ميعاد التسليم]])), 0, Table1[[#This Row],[ميعاد التسليم]] - Table1[[#This Row],[ميعاد الطلب]])</f>
        <v>15</v>
      </c>
      <c r="O96">
        <f>IF(OR(ISBLANK(Table1[[#This Row],[ميعاد الطلب]]), ISBLANK(Table1[[#This Row],[تاريخ التسليم]])), 0, Table1[[#This Row],[تاريخ التسليم]] - Table1[[#This Row],[ميعاد الطلب]])</f>
        <v>6</v>
      </c>
      <c r="P96">
        <f>IF(Table1[[#This Row],[مدة التسليم (الهدف)]] &lt;=Table1[[#This Row],[مدة التسليم (الفعلي)]], 0,1)</f>
        <v>1</v>
      </c>
      <c r="Q96" s="15">
        <v>45616</v>
      </c>
      <c r="R96" s="15">
        <v>45631</v>
      </c>
      <c r="S96" s="15">
        <v>45622</v>
      </c>
      <c r="T96" t="s">
        <v>178</v>
      </c>
      <c r="U96" t="s">
        <v>177</v>
      </c>
    </row>
    <row r="97" spans="1:21" ht="20.100000000000001" customHeight="1" x14ac:dyDescent="0.3">
      <c r="A97" t="s">
        <v>37</v>
      </c>
      <c r="B97"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97" t="s">
        <v>42</v>
      </c>
      <c r="D97" t="s">
        <v>263</v>
      </c>
      <c r="E97" t="s">
        <v>39</v>
      </c>
      <c r="F97" t="s">
        <v>143</v>
      </c>
      <c r="G97" t="s">
        <v>222</v>
      </c>
      <c r="H97" t="s">
        <v>223</v>
      </c>
      <c r="I97">
        <v>160</v>
      </c>
      <c r="J97" t="s">
        <v>157</v>
      </c>
      <c r="K97"/>
      <c r="L97">
        <v>5100</v>
      </c>
      <c r="M97" t="s">
        <v>80</v>
      </c>
      <c r="N97">
        <f>IF(OR(ISBLANK(Table1[[#This Row],[ميعاد الطلب]]), ISBLANK(Table1[[#This Row],[ميعاد التسليم]])), 0, Table1[[#This Row],[ميعاد التسليم]] - Table1[[#This Row],[ميعاد الطلب]])</f>
        <v>24</v>
      </c>
      <c r="O97">
        <f>IF(OR(ISBLANK(Table1[[#This Row],[ميعاد الطلب]]), ISBLANK(Table1[[#This Row],[تاريخ التسليم]])), 0, Table1[[#This Row],[تاريخ التسليم]] - Table1[[#This Row],[ميعاد الطلب]])</f>
        <v>0</v>
      </c>
      <c r="P97">
        <f>IF(Table1[[#This Row],[مدة التسليم (الهدف)]] &lt;=Table1[[#This Row],[مدة التسليم (الفعلي)]], 0,1)</f>
        <v>1</v>
      </c>
      <c r="Q97" s="15">
        <v>45610</v>
      </c>
      <c r="R97" s="15">
        <v>45634</v>
      </c>
      <c r="T97"/>
      <c r="U97" t="s">
        <v>175</v>
      </c>
    </row>
    <row r="98" spans="1:21" ht="20.100000000000001" customHeight="1" x14ac:dyDescent="0.3">
      <c r="A98" t="s">
        <v>224</v>
      </c>
      <c r="B98"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98" t="s">
        <v>45</v>
      </c>
      <c r="D98" t="s">
        <v>263</v>
      </c>
      <c r="E98" t="s">
        <v>31</v>
      </c>
      <c r="F98" t="s">
        <v>143</v>
      </c>
      <c r="G98" t="s">
        <v>222</v>
      </c>
      <c r="H98" t="s">
        <v>225</v>
      </c>
      <c r="I98">
        <v>160</v>
      </c>
      <c r="J98" t="s">
        <v>165</v>
      </c>
      <c r="K98"/>
      <c r="L98">
        <v>6000</v>
      </c>
      <c r="M98" t="s">
        <v>274</v>
      </c>
      <c r="N98">
        <f>IF(OR(ISBLANK(Table1[[#This Row],[ميعاد الطلب]]), ISBLANK(Table1[[#This Row],[ميعاد التسليم]])), 0, Table1[[#This Row],[ميعاد التسليم]] - Table1[[#This Row],[ميعاد الطلب]])</f>
        <v>10</v>
      </c>
      <c r="O98">
        <f>IF(OR(ISBLANK(Table1[[#This Row],[ميعاد الطلب]]), ISBLANK(Table1[[#This Row],[تاريخ التسليم]])), 0, Table1[[#This Row],[تاريخ التسليم]] - Table1[[#This Row],[ميعاد الطلب]])</f>
        <v>5</v>
      </c>
      <c r="P98">
        <f>IF(Table1[[#This Row],[مدة التسليم (الهدف)]] &lt;=Table1[[#This Row],[مدة التسليم (الفعلي)]], 0,1)</f>
        <v>1</v>
      </c>
      <c r="Q98" s="15">
        <v>45618</v>
      </c>
      <c r="R98" s="15">
        <v>45628</v>
      </c>
      <c r="S98" s="15">
        <v>45623</v>
      </c>
      <c r="T98" t="s">
        <v>178</v>
      </c>
      <c r="U98" t="s">
        <v>177</v>
      </c>
    </row>
    <row r="99" spans="1:21" ht="20.100000000000001" customHeight="1" x14ac:dyDescent="0.3">
      <c r="A99" t="s">
        <v>226</v>
      </c>
      <c r="B99"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99" t="s">
        <v>227</v>
      </c>
      <c r="D99" t="s">
        <v>263</v>
      </c>
      <c r="E99" t="s">
        <v>6</v>
      </c>
      <c r="F99" t="s">
        <v>143</v>
      </c>
      <c r="G99" t="s">
        <v>222</v>
      </c>
      <c r="H99" t="s">
        <v>148</v>
      </c>
      <c r="I99">
        <v>120</v>
      </c>
      <c r="J99" t="s">
        <v>161</v>
      </c>
      <c r="K99"/>
      <c r="L99">
        <v>10885</v>
      </c>
      <c r="M99" t="s">
        <v>274</v>
      </c>
      <c r="N99">
        <f>IF(OR(ISBLANK(Table1[[#This Row],[ميعاد الطلب]]), ISBLANK(Table1[[#This Row],[ميعاد التسليم]])), 0, Table1[[#This Row],[ميعاد التسليم]] - Table1[[#This Row],[ميعاد الطلب]])</f>
        <v>11</v>
      </c>
      <c r="O99">
        <f>IF(OR(ISBLANK(Table1[[#This Row],[ميعاد الطلب]]), ISBLANK(Table1[[#This Row],[تاريخ التسليم]])), 0, Table1[[#This Row],[تاريخ التسليم]] - Table1[[#This Row],[ميعاد الطلب]])</f>
        <v>16</v>
      </c>
      <c r="P99">
        <f>IF(Table1[[#This Row],[مدة التسليم (الهدف)]] &lt;=Table1[[#This Row],[مدة التسليم (الفعلي)]], 0,1)</f>
        <v>0</v>
      </c>
      <c r="Q99" s="15">
        <v>45620</v>
      </c>
      <c r="R99" s="15">
        <v>45631</v>
      </c>
      <c r="S99" s="15">
        <v>45636</v>
      </c>
      <c r="T99" t="s">
        <v>178</v>
      </c>
      <c r="U99" t="s">
        <v>177</v>
      </c>
    </row>
    <row r="100" spans="1:21" ht="20.100000000000001" customHeight="1" x14ac:dyDescent="0.3">
      <c r="A100" t="s">
        <v>37</v>
      </c>
      <c r="B100"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100" t="s">
        <v>42</v>
      </c>
      <c r="D100" t="s">
        <v>263</v>
      </c>
      <c r="E100" t="s">
        <v>39</v>
      </c>
      <c r="F100" t="s">
        <v>152</v>
      </c>
      <c r="G100" t="s">
        <v>228</v>
      </c>
      <c r="H100" t="s">
        <v>228</v>
      </c>
      <c r="I100">
        <v>0</v>
      </c>
      <c r="J100" t="s">
        <v>266</v>
      </c>
      <c r="K100"/>
      <c r="L100">
        <v>6000</v>
      </c>
      <c r="M100" t="s">
        <v>274</v>
      </c>
      <c r="N100">
        <f>IF(OR(ISBLANK(Table1[[#This Row],[ميعاد الطلب]]), ISBLANK(Table1[[#This Row],[ميعاد التسليم]])), 0, Table1[[#This Row],[ميعاد التسليم]] - Table1[[#This Row],[ميعاد الطلب]])</f>
        <v>16</v>
      </c>
      <c r="O100">
        <f>IF(OR(ISBLANK(Table1[[#This Row],[ميعاد الطلب]]), ISBLANK(Table1[[#This Row],[تاريخ التسليم]])), 0, Table1[[#This Row],[تاريخ التسليم]] - Table1[[#This Row],[ميعاد الطلب]])</f>
        <v>1</v>
      </c>
      <c r="P100">
        <f>IF(Table1[[#This Row],[مدة التسليم (الهدف)]] &lt;=Table1[[#This Row],[مدة التسليم (الفعلي)]], 0,1)</f>
        <v>1</v>
      </c>
      <c r="Q100" s="15">
        <v>45615</v>
      </c>
      <c r="R100" s="15">
        <v>45631</v>
      </c>
      <c r="S100" s="15">
        <v>45616</v>
      </c>
      <c r="T100" t="s">
        <v>229</v>
      </c>
      <c r="U100" t="s">
        <v>177</v>
      </c>
    </row>
    <row r="101" spans="1:21" ht="20.100000000000001" customHeight="1" x14ac:dyDescent="0.3">
      <c r="A101" t="s">
        <v>230</v>
      </c>
      <c r="B101"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01" t="s">
        <v>231</v>
      </c>
      <c r="D101" t="s">
        <v>267</v>
      </c>
      <c r="E101" t="s">
        <v>6</v>
      </c>
      <c r="F101" t="s">
        <v>273</v>
      </c>
      <c r="G101" t="s">
        <v>266</v>
      </c>
      <c r="H101" t="s">
        <v>232</v>
      </c>
      <c r="I101">
        <v>0</v>
      </c>
      <c r="J101" t="s">
        <v>266</v>
      </c>
      <c r="K101"/>
      <c r="L101">
        <v>8449</v>
      </c>
      <c r="M101" t="s">
        <v>14</v>
      </c>
      <c r="N101">
        <f>IF(OR(ISBLANK(Table1[[#This Row],[ميعاد الطلب]]), ISBLANK(Table1[[#This Row],[ميعاد التسليم]])), 0, Table1[[#This Row],[ميعاد التسليم]] - Table1[[#This Row],[ميعاد الطلب]])</f>
        <v>13</v>
      </c>
      <c r="O101">
        <f>IF(OR(ISBLANK(Table1[[#This Row],[ميعاد الطلب]]), ISBLANK(Table1[[#This Row],[تاريخ التسليم]])), 0, Table1[[#This Row],[تاريخ التسليم]] - Table1[[#This Row],[ميعاد الطلب]])</f>
        <v>26</v>
      </c>
      <c r="P101">
        <f>IF(Table1[[#This Row],[مدة التسليم (الهدف)]] &lt;=Table1[[#This Row],[مدة التسليم (الفعلي)]], 0,1)</f>
        <v>0</v>
      </c>
      <c r="Q101" s="15">
        <v>45623</v>
      </c>
      <c r="R101" s="15">
        <v>45636</v>
      </c>
      <c r="S101" s="15">
        <v>45649</v>
      </c>
      <c r="T101" t="s">
        <v>24</v>
      </c>
      <c r="U101" t="s">
        <v>177</v>
      </c>
    </row>
    <row r="102" spans="1:21" ht="20.100000000000001" customHeight="1" x14ac:dyDescent="0.3">
      <c r="A102" t="s">
        <v>233</v>
      </c>
      <c r="B102"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02" t="s">
        <v>55</v>
      </c>
      <c r="D102" t="s">
        <v>263</v>
      </c>
      <c r="E102" t="s">
        <v>6</v>
      </c>
      <c r="F102" t="s">
        <v>273</v>
      </c>
      <c r="G102" t="s">
        <v>291</v>
      </c>
      <c r="H102" t="s">
        <v>234</v>
      </c>
      <c r="I102">
        <v>0</v>
      </c>
      <c r="J102" t="s">
        <v>156</v>
      </c>
      <c r="K102"/>
      <c r="L102">
        <v>10249</v>
      </c>
      <c r="M102" t="s">
        <v>274</v>
      </c>
      <c r="N102">
        <f>IF(OR(ISBLANK(Table1[[#This Row],[ميعاد الطلب]]), ISBLANK(Table1[[#This Row],[ميعاد التسليم]])), 0, Table1[[#This Row],[ميعاد التسليم]] - Table1[[#This Row],[ميعاد الطلب]])</f>
        <v>13</v>
      </c>
      <c r="O102">
        <f>IF(OR(ISBLANK(Table1[[#This Row],[ميعاد الطلب]]), ISBLANK(Table1[[#This Row],[تاريخ التسليم]])), 0, Table1[[#This Row],[تاريخ التسليم]] - Table1[[#This Row],[ميعاد الطلب]])</f>
        <v>22</v>
      </c>
      <c r="P102">
        <f>IF(Table1[[#This Row],[مدة التسليم (الهدف)]] &lt;=Table1[[#This Row],[مدة التسليم (الفعلي)]], 0,1)</f>
        <v>0</v>
      </c>
      <c r="Q102" s="15">
        <v>45623</v>
      </c>
      <c r="R102" s="15">
        <v>45636</v>
      </c>
      <c r="S102" s="15">
        <v>45645</v>
      </c>
      <c r="T102" t="s">
        <v>178</v>
      </c>
      <c r="U102" t="s">
        <v>177</v>
      </c>
    </row>
    <row r="103" spans="1:21" ht="20.100000000000001" customHeight="1" x14ac:dyDescent="0.3">
      <c r="A103" t="s">
        <v>235</v>
      </c>
      <c r="B103"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03" t="s">
        <v>236</v>
      </c>
      <c r="D103" t="s">
        <v>267</v>
      </c>
      <c r="E103" t="s">
        <v>6</v>
      </c>
      <c r="F103" t="s">
        <v>143</v>
      </c>
      <c r="G103" t="s">
        <v>155</v>
      </c>
      <c r="H103" t="s">
        <v>147</v>
      </c>
      <c r="I103">
        <v>100</v>
      </c>
      <c r="J103" t="s">
        <v>157</v>
      </c>
      <c r="K103"/>
      <c r="L103">
        <v>14905</v>
      </c>
      <c r="M103" t="s">
        <v>14</v>
      </c>
      <c r="N103">
        <f>IF(OR(ISBLANK(Table1[[#This Row],[ميعاد الطلب]]), ISBLANK(Table1[[#This Row],[ميعاد التسليم]])), 0, Table1[[#This Row],[ميعاد التسليم]] - Table1[[#This Row],[ميعاد الطلب]])</f>
        <v>16</v>
      </c>
      <c r="O103">
        <f>IF(OR(ISBLANK(Table1[[#This Row],[ميعاد الطلب]]), ISBLANK(Table1[[#This Row],[تاريخ التسليم]])), 0, Table1[[#This Row],[تاريخ التسليم]] - Table1[[#This Row],[ميعاد الطلب]])</f>
        <v>0</v>
      </c>
      <c r="P103">
        <f>IF(Table1[[#This Row],[مدة التسليم (الهدف)]] &lt;=Table1[[#This Row],[مدة التسليم (الفعلي)]], 0,1)</f>
        <v>1</v>
      </c>
      <c r="Q103" s="15">
        <v>45625</v>
      </c>
      <c r="R103" s="15">
        <v>45641</v>
      </c>
      <c r="T103" t="s">
        <v>247</v>
      </c>
      <c r="U103" t="s">
        <v>175</v>
      </c>
    </row>
    <row r="104" spans="1:21" ht="20.100000000000001" customHeight="1" x14ac:dyDescent="0.3">
      <c r="A104" t="s">
        <v>237</v>
      </c>
      <c r="B104"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04" t="s">
        <v>63</v>
      </c>
      <c r="D104" t="s">
        <v>263</v>
      </c>
      <c r="E104" t="s">
        <v>6</v>
      </c>
      <c r="F104" t="s">
        <v>273</v>
      </c>
      <c r="G104" t="s">
        <v>291</v>
      </c>
      <c r="H104" t="s">
        <v>234</v>
      </c>
      <c r="I104">
        <v>0</v>
      </c>
      <c r="J104" t="s">
        <v>157</v>
      </c>
      <c r="K104"/>
      <c r="L104">
        <v>10249</v>
      </c>
      <c r="M104" t="s">
        <v>14</v>
      </c>
      <c r="N104">
        <f>IF(OR(ISBLANK(Table1[[#This Row],[ميعاد الطلب]]), ISBLANK(Table1[[#This Row],[ميعاد التسليم]])), 0, Table1[[#This Row],[ميعاد التسليم]] - Table1[[#This Row],[ميعاد الطلب]])</f>
        <v>12</v>
      </c>
      <c r="O104">
        <f>IF(OR(ISBLANK(Table1[[#This Row],[ميعاد الطلب]]), ISBLANK(Table1[[#This Row],[تاريخ التسليم]])), 0, Table1[[#This Row],[تاريخ التسليم]] - Table1[[#This Row],[ميعاد الطلب]])</f>
        <v>0</v>
      </c>
      <c r="P104">
        <f>IF(Table1[[#This Row],[مدة التسليم (الهدف)]] &lt;=Table1[[#This Row],[مدة التسليم (الفعلي)]], 0,1)</f>
        <v>1</v>
      </c>
      <c r="Q104" s="15">
        <v>45626</v>
      </c>
      <c r="R104" s="15">
        <v>45638</v>
      </c>
      <c r="T104"/>
      <c r="U104" t="s">
        <v>175</v>
      </c>
    </row>
    <row r="105" spans="1:21" ht="20.100000000000001" customHeight="1" x14ac:dyDescent="0.3">
      <c r="A105" t="s">
        <v>238</v>
      </c>
      <c r="B105"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05" t="s">
        <v>63</v>
      </c>
      <c r="D105" t="s">
        <v>263</v>
      </c>
      <c r="E105" t="s">
        <v>6</v>
      </c>
      <c r="F105" t="s">
        <v>273</v>
      </c>
      <c r="G105" t="s">
        <v>173</v>
      </c>
      <c r="H105" s="1" t="s">
        <v>266</v>
      </c>
      <c r="I105">
        <v>0</v>
      </c>
      <c r="J105" t="s">
        <v>157</v>
      </c>
      <c r="K105"/>
      <c r="L105">
        <v>9029</v>
      </c>
      <c r="M105" t="s">
        <v>14</v>
      </c>
      <c r="N105">
        <f>IF(OR(ISBLANK(Table1[[#This Row],[ميعاد الطلب]]), ISBLANK(Table1[[#This Row],[ميعاد التسليم]])), 0, Table1[[#This Row],[ميعاد التسليم]] - Table1[[#This Row],[ميعاد الطلب]])</f>
        <v>12</v>
      </c>
      <c r="O105">
        <f>IF(OR(ISBLANK(Table1[[#This Row],[ميعاد الطلب]]), ISBLANK(Table1[[#This Row],[تاريخ التسليم]])), 0, Table1[[#This Row],[تاريخ التسليم]] - Table1[[#This Row],[ميعاد الطلب]])</f>
        <v>0</v>
      </c>
      <c r="P105">
        <f>IF(Table1[[#This Row],[مدة التسليم (الهدف)]] &lt;=Table1[[#This Row],[مدة التسليم (الفعلي)]], 0,1)</f>
        <v>1</v>
      </c>
      <c r="Q105" s="15">
        <v>45626</v>
      </c>
      <c r="R105" s="15">
        <v>45638</v>
      </c>
      <c r="T105"/>
      <c r="U105" t="s">
        <v>175</v>
      </c>
    </row>
    <row r="106" spans="1:21" ht="20.100000000000001" customHeight="1" x14ac:dyDescent="0.3">
      <c r="A106" t="s">
        <v>239</v>
      </c>
      <c r="B106"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06" t="s">
        <v>138</v>
      </c>
      <c r="D106" t="s">
        <v>186</v>
      </c>
      <c r="E106" t="s">
        <v>6</v>
      </c>
      <c r="F106" t="s">
        <v>273</v>
      </c>
      <c r="G106" t="s">
        <v>234</v>
      </c>
      <c r="H106" s="1" t="s">
        <v>266</v>
      </c>
      <c r="I106">
        <v>0</v>
      </c>
      <c r="J106" t="s">
        <v>157</v>
      </c>
      <c r="K106"/>
      <c r="L106">
        <v>9029</v>
      </c>
      <c r="M106" t="s">
        <v>14</v>
      </c>
      <c r="N106">
        <f>IF(OR(ISBLANK(Table1[[#This Row],[ميعاد الطلب]]), ISBLANK(Table1[[#This Row],[ميعاد التسليم]])), 0, Table1[[#This Row],[ميعاد التسليم]] - Table1[[#This Row],[ميعاد الطلب]])</f>
        <v>12</v>
      </c>
      <c r="O106">
        <f>IF(OR(ISBLANK(Table1[[#This Row],[ميعاد الطلب]]), ISBLANK(Table1[[#This Row],[تاريخ التسليم]])), 0, Table1[[#This Row],[تاريخ التسليم]] - Table1[[#This Row],[ميعاد الطلب]])</f>
        <v>0</v>
      </c>
      <c r="P106">
        <f>IF(Table1[[#This Row],[مدة التسليم (الهدف)]] &lt;=Table1[[#This Row],[مدة التسليم (الفعلي)]], 0,1)</f>
        <v>1</v>
      </c>
      <c r="Q106" s="15">
        <v>45626</v>
      </c>
      <c r="R106" s="15">
        <v>45638</v>
      </c>
      <c r="T106"/>
      <c r="U106" t="s">
        <v>175</v>
      </c>
    </row>
    <row r="107" spans="1:21" ht="20.100000000000001" customHeight="1" x14ac:dyDescent="0.3">
      <c r="A107" t="s">
        <v>240</v>
      </c>
      <c r="B107"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07" t="s">
        <v>241</v>
      </c>
      <c r="D107" t="s">
        <v>263</v>
      </c>
      <c r="E107" t="s">
        <v>6</v>
      </c>
      <c r="F107" t="s">
        <v>143</v>
      </c>
      <c r="G107" t="s">
        <v>155</v>
      </c>
      <c r="H107" t="s">
        <v>145</v>
      </c>
      <c r="I107">
        <v>80</v>
      </c>
      <c r="J107" t="s">
        <v>156</v>
      </c>
      <c r="K107"/>
      <c r="L107">
        <v>12099</v>
      </c>
      <c r="M107" t="s">
        <v>14</v>
      </c>
      <c r="N107">
        <f>IF(OR(ISBLANK(Table1[[#This Row],[ميعاد الطلب]]), ISBLANK(Table1[[#This Row],[ميعاد التسليم]])), 0, Table1[[#This Row],[ميعاد التسليم]] - Table1[[#This Row],[ميعاد الطلب]])</f>
        <v>15</v>
      </c>
      <c r="O107">
        <f>IF(OR(ISBLANK(Table1[[#This Row],[ميعاد الطلب]]), ISBLANK(Table1[[#This Row],[تاريخ التسليم]])), 0, Table1[[#This Row],[تاريخ التسليم]] - Table1[[#This Row],[ميعاد الطلب]])</f>
        <v>0</v>
      </c>
      <c r="P107">
        <f>IF(Table1[[#This Row],[مدة التسليم (الهدف)]] &lt;=Table1[[#This Row],[مدة التسليم (الفعلي)]], 0,1)</f>
        <v>1</v>
      </c>
      <c r="Q107" s="15">
        <v>45628</v>
      </c>
      <c r="R107" s="15">
        <v>45643</v>
      </c>
      <c r="T107"/>
      <c r="U107" t="s">
        <v>175</v>
      </c>
    </row>
    <row r="108" spans="1:21" ht="20.100000000000001" customHeight="1" x14ac:dyDescent="0.3">
      <c r="A108" t="s">
        <v>78</v>
      </c>
      <c r="B108"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108" t="s">
        <v>179</v>
      </c>
      <c r="D108" t="s">
        <v>264</v>
      </c>
      <c r="E108" t="s">
        <v>52</v>
      </c>
      <c r="F108" t="s">
        <v>143</v>
      </c>
      <c r="G108" t="s">
        <v>155</v>
      </c>
      <c r="H108" t="s">
        <v>147</v>
      </c>
      <c r="I108">
        <v>90</v>
      </c>
      <c r="J108" t="s">
        <v>159</v>
      </c>
      <c r="K108"/>
      <c r="L108">
        <v>5217</v>
      </c>
      <c r="M108" t="s">
        <v>80</v>
      </c>
      <c r="N108">
        <f>IF(OR(ISBLANK(Table1[[#This Row],[ميعاد الطلب]]), ISBLANK(Table1[[#This Row],[ميعاد التسليم]])), 0, Table1[[#This Row],[ميعاد التسليم]] - Table1[[#This Row],[ميعاد الطلب]])</f>
        <v>13</v>
      </c>
      <c r="O108">
        <f>IF(OR(ISBLANK(Table1[[#This Row],[ميعاد الطلب]]), ISBLANK(Table1[[#This Row],[تاريخ التسليم]])), 0, Table1[[#This Row],[تاريخ التسليم]] - Table1[[#This Row],[ميعاد الطلب]])</f>
        <v>9</v>
      </c>
      <c r="P108">
        <f>IF(Table1[[#This Row],[مدة التسليم (الهدف)]] &lt;=Table1[[#This Row],[مدة التسليم (الفعلي)]], 0,1)</f>
        <v>1</v>
      </c>
      <c r="Q108" s="15">
        <v>45627</v>
      </c>
      <c r="R108" s="15">
        <v>45640</v>
      </c>
      <c r="S108" s="15">
        <v>45636</v>
      </c>
      <c r="T108" t="s">
        <v>178</v>
      </c>
      <c r="U108" t="s">
        <v>177</v>
      </c>
    </row>
    <row r="109" spans="1:21" ht="20.100000000000001" customHeight="1" x14ac:dyDescent="0.3">
      <c r="A109" t="s">
        <v>242</v>
      </c>
      <c r="B109"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09" t="s">
        <v>129</v>
      </c>
      <c r="D109" t="s">
        <v>263</v>
      </c>
      <c r="E109" t="s">
        <v>6</v>
      </c>
      <c r="F109" t="s">
        <v>143</v>
      </c>
      <c r="G109" t="s">
        <v>144</v>
      </c>
      <c r="H109" s="1" t="s">
        <v>266</v>
      </c>
      <c r="I109">
        <v>0</v>
      </c>
      <c r="J109" t="s">
        <v>157</v>
      </c>
      <c r="K109"/>
      <c r="L109">
        <v>10249</v>
      </c>
      <c r="M109" t="s">
        <v>274</v>
      </c>
      <c r="N109">
        <f>IF(OR(ISBLANK(Table1[[#This Row],[ميعاد الطلب]]), ISBLANK(Table1[[#This Row],[ميعاد التسليم]])), 0, Table1[[#This Row],[ميعاد التسليم]] - Table1[[#This Row],[ميعاد الطلب]])</f>
        <v>10</v>
      </c>
      <c r="O109">
        <f>IF(OR(ISBLANK(Table1[[#This Row],[ميعاد الطلب]]), ISBLANK(Table1[[#This Row],[تاريخ التسليم]])), 0, Table1[[#This Row],[تاريخ التسليم]] - Table1[[#This Row],[ميعاد الطلب]])</f>
        <v>15</v>
      </c>
      <c r="P109">
        <f>IF(Table1[[#This Row],[مدة التسليم (الهدف)]] &lt;=Table1[[#This Row],[مدة التسليم (الفعلي)]], 0,1)</f>
        <v>0</v>
      </c>
      <c r="Q109" s="15">
        <v>45630</v>
      </c>
      <c r="R109" s="15">
        <v>45640</v>
      </c>
      <c r="S109" s="15">
        <v>45645</v>
      </c>
      <c r="T109" t="s">
        <v>178</v>
      </c>
      <c r="U109" t="s">
        <v>177</v>
      </c>
    </row>
    <row r="110" spans="1:21" ht="20.100000000000001" customHeight="1" x14ac:dyDescent="0.3">
      <c r="A110" t="s">
        <v>243</v>
      </c>
      <c r="B110"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10" t="s">
        <v>244</v>
      </c>
      <c r="D110" t="s">
        <v>263</v>
      </c>
      <c r="E110" t="s">
        <v>48</v>
      </c>
      <c r="F110" t="s">
        <v>143</v>
      </c>
      <c r="G110" t="s">
        <v>155</v>
      </c>
      <c r="H110" t="s">
        <v>146</v>
      </c>
      <c r="I110">
        <v>0</v>
      </c>
      <c r="J110" t="s">
        <v>157</v>
      </c>
      <c r="K110"/>
      <c r="L110">
        <v>10445</v>
      </c>
      <c r="M110" t="s">
        <v>274</v>
      </c>
      <c r="N110">
        <f>IF(OR(ISBLANK(Table1[[#This Row],[ميعاد الطلب]]), ISBLANK(Table1[[#This Row],[ميعاد التسليم]])), 0, Table1[[#This Row],[ميعاد التسليم]] - Table1[[#This Row],[ميعاد الطلب]])</f>
        <v>22</v>
      </c>
      <c r="O110">
        <f>IF(OR(ISBLANK(Table1[[#This Row],[ميعاد الطلب]]), ISBLANK(Table1[[#This Row],[تاريخ التسليم]])), 0, Table1[[#This Row],[تاريخ التسليم]] - Table1[[#This Row],[ميعاد الطلب]])</f>
        <v>3</v>
      </c>
      <c r="P110">
        <f>IF(Table1[[#This Row],[مدة التسليم (الهدف)]] &lt;=Table1[[#This Row],[مدة التسليم (الفعلي)]], 0,1)</f>
        <v>1</v>
      </c>
      <c r="Q110" s="15">
        <v>45635</v>
      </c>
      <c r="R110" s="15">
        <v>45657</v>
      </c>
      <c r="S110" s="15">
        <v>45638</v>
      </c>
      <c r="T110" t="s">
        <v>178</v>
      </c>
      <c r="U110" t="s">
        <v>177</v>
      </c>
    </row>
    <row r="111" spans="1:21" ht="20.100000000000001" customHeight="1" x14ac:dyDescent="0.3">
      <c r="A111" t="s">
        <v>245</v>
      </c>
      <c r="B111"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11" t="s">
        <v>63</v>
      </c>
      <c r="D111" t="s">
        <v>263</v>
      </c>
      <c r="E111" t="s">
        <v>6</v>
      </c>
      <c r="F111" t="s">
        <v>273</v>
      </c>
      <c r="G111" t="s">
        <v>291</v>
      </c>
      <c r="H111" t="s">
        <v>234</v>
      </c>
      <c r="I111">
        <v>0</v>
      </c>
      <c r="J111" t="s">
        <v>157</v>
      </c>
      <c r="K111"/>
      <c r="L111">
        <v>11199</v>
      </c>
      <c r="M111" t="s">
        <v>274</v>
      </c>
      <c r="N111">
        <f>IF(OR(ISBLANK(Table1[[#This Row],[ميعاد الطلب]]), ISBLANK(Table1[[#This Row],[ميعاد التسليم]])), 0, Table1[[#This Row],[ميعاد التسليم]] - Table1[[#This Row],[ميعاد الطلب]])</f>
        <v>12</v>
      </c>
      <c r="O111">
        <f>IF(OR(ISBLANK(Table1[[#This Row],[ميعاد الطلب]]), ISBLANK(Table1[[#This Row],[تاريخ التسليم]])), 0, Table1[[#This Row],[تاريخ التسليم]] - Table1[[#This Row],[ميعاد الطلب]])</f>
        <v>7</v>
      </c>
      <c r="P111">
        <f>IF(Table1[[#This Row],[مدة التسليم (الهدف)]] &lt;=Table1[[#This Row],[مدة التسليم (الفعلي)]], 0,1)</f>
        <v>1</v>
      </c>
      <c r="Q111" s="15">
        <v>45638</v>
      </c>
      <c r="R111" s="15">
        <v>45650</v>
      </c>
      <c r="S111" s="15">
        <v>45645</v>
      </c>
      <c r="T111" t="s">
        <v>178</v>
      </c>
      <c r="U111" t="s">
        <v>177</v>
      </c>
    </row>
    <row r="112" spans="1:21" ht="20.100000000000001" customHeight="1" x14ac:dyDescent="0.3">
      <c r="A112" t="s">
        <v>246</v>
      </c>
      <c r="B112" t="str">
        <f>IF(OR(Table1[[#This Row],[أسم العميل]]="تاكى ",Table1[[#This Row],[أسم العميل]]="تاكى", Table1[[#This Row],[أسم العميل]]="شيك هومز",Table1[[#This Row],[أسم العميل]]="شيك هومز ", Table1[[#This Row],[أسم العميل]]="اوسكار راتن"), "شركات", "افراد")</f>
        <v>افراد</v>
      </c>
      <c r="C112" t="s">
        <v>221</v>
      </c>
      <c r="D112" t="s">
        <v>265</v>
      </c>
      <c r="E112" t="s">
        <v>6</v>
      </c>
      <c r="F112" t="s">
        <v>143</v>
      </c>
      <c r="G112" t="s">
        <v>155</v>
      </c>
      <c r="H112" t="s">
        <v>145</v>
      </c>
      <c r="I112">
        <v>80</v>
      </c>
      <c r="J112" t="s">
        <v>157</v>
      </c>
      <c r="K112"/>
      <c r="L112">
        <v>13099</v>
      </c>
      <c r="M112" t="s">
        <v>274</v>
      </c>
      <c r="N112">
        <f>IF(OR(ISBLANK(Table1[[#This Row],[ميعاد الطلب]]), ISBLANK(Table1[[#This Row],[ميعاد التسليم]])), 0, Table1[[#This Row],[ميعاد التسليم]] - Table1[[#This Row],[ميعاد الطلب]])</f>
        <v>16</v>
      </c>
      <c r="O112">
        <f>IF(OR(ISBLANK(Table1[[#This Row],[ميعاد الطلب]]), ISBLANK(Table1[[#This Row],[تاريخ التسليم]])), 0, Table1[[#This Row],[تاريخ التسليم]] - Table1[[#This Row],[ميعاد الطلب]])</f>
        <v>17</v>
      </c>
      <c r="P112">
        <f>IF(Table1[[#This Row],[مدة التسليم (الهدف)]] &lt;=Table1[[#This Row],[مدة التسليم (الفعلي)]], 0,1)</f>
        <v>0</v>
      </c>
      <c r="Q112" s="15">
        <v>45638</v>
      </c>
      <c r="R112" s="15">
        <v>45654</v>
      </c>
      <c r="S112" s="15">
        <v>45655</v>
      </c>
      <c r="T112" t="s">
        <v>178</v>
      </c>
      <c r="U112" t="s">
        <v>177</v>
      </c>
    </row>
    <row r="113" spans="1:21" ht="20.100000000000001" customHeight="1" x14ac:dyDescent="0.3">
      <c r="A113" t="s">
        <v>48</v>
      </c>
      <c r="B113" t="str">
        <f>IF(OR(Table1[[#This Row],[أسم العميل]]="تاكى ",Table1[[#This Row],[أسم العميل]]="تاكى", Table1[[#This Row],[أسم العميل]]="شيك هومز",Table1[[#This Row],[أسم العميل]]="شيك هومز ", Table1[[#This Row],[أسم العميل]]="اوسكار راتن"), "شركات", "افراد")</f>
        <v>شركات</v>
      </c>
      <c r="C113" t="s">
        <v>193</v>
      </c>
      <c r="D113" t="s">
        <v>266</v>
      </c>
      <c r="E113" t="s">
        <v>48</v>
      </c>
      <c r="F113" t="s">
        <v>152</v>
      </c>
      <c r="G113" t="s">
        <v>154</v>
      </c>
      <c r="H113" t="s">
        <v>213</v>
      </c>
      <c r="I113">
        <v>0</v>
      </c>
      <c r="J113" t="s">
        <v>157</v>
      </c>
      <c r="K113"/>
      <c r="L113">
        <v>8700</v>
      </c>
      <c r="M113" t="s">
        <v>80</v>
      </c>
      <c r="N113">
        <f>IF(OR(ISBLANK(Table1[[#This Row],[ميعاد الطلب]]), ISBLANK(Table1[[#This Row],[ميعاد التسليم]])), 0, Table1[[#This Row],[ميعاد التسليم]] - Table1[[#This Row],[ميعاد الطلب]])</f>
        <v>22</v>
      </c>
      <c r="O113">
        <f>IF(OR(ISBLANK(Table1[[#This Row],[ميعاد الطلب]]), ISBLANK(Table1[[#This Row],[تاريخ التسليم]])), 0, Table1[[#This Row],[تاريخ التسليم]] - Table1[[#This Row],[ميعاد الطلب]])</f>
        <v>15</v>
      </c>
      <c r="P113">
        <f>IF(Table1[[#This Row],[مدة التسليم (الهدف)]] &lt;=Table1[[#This Row],[مدة التسليم (الفعلي)]], 0,1)</f>
        <v>1</v>
      </c>
      <c r="Q113" s="15">
        <v>45640</v>
      </c>
      <c r="R113" s="15">
        <v>45662</v>
      </c>
      <c r="S113" s="15">
        <v>45655</v>
      </c>
      <c r="T113" t="s">
        <v>178</v>
      </c>
      <c r="U113" t="s">
        <v>177</v>
      </c>
    </row>
    <row r="114" spans="1:21" ht="20.100000000000001" customHeight="1" x14ac:dyDescent="0.3">
      <c r="A114"/>
      <c r="B114"/>
      <c r="C114"/>
      <c r="D114"/>
      <c r="E114"/>
      <c r="F114"/>
      <c r="G114"/>
      <c r="H114"/>
      <c r="I114"/>
      <c r="J114"/>
      <c r="K114"/>
      <c r="L114"/>
      <c r="M114"/>
      <c r="N114"/>
      <c r="O114"/>
      <c r="P114"/>
      <c r="Q114"/>
      <c r="R114"/>
      <c r="S114"/>
      <c r="T114"/>
      <c r="U114"/>
    </row>
    <row r="115" spans="1:21" ht="20.100000000000001" customHeight="1" x14ac:dyDescent="0.3">
      <c r="A115"/>
      <c r="B115"/>
      <c r="C115"/>
      <c r="D115"/>
      <c r="E115"/>
      <c r="F115"/>
      <c r="G115"/>
      <c r="H115"/>
      <c r="I115"/>
      <c r="J115"/>
      <c r="K115"/>
      <c r="L115"/>
      <c r="M115"/>
      <c r="N115"/>
      <c r="O115"/>
      <c r="P115"/>
      <c r="Q115"/>
      <c r="R115"/>
      <c r="S115"/>
      <c r="T115"/>
      <c r="U115"/>
    </row>
    <row r="116" spans="1:21" ht="20.100000000000001" customHeight="1" x14ac:dyDescent="0.3">
      <c r="A116"/>
      <c r="B116"/>
      <c r="C116"/>
      <c r="D116"/>
      <c r="E116"/>
      <c r="F116"/>
      <c r="G116"/>
      <c r="H116"/>
      <c r="I116"/>
      <c r="J116"/>
      <c r="K116"/>
      <c r="L116"/>
      <c r="M116"/>
      <c r="N116"/>
      <c r="O116"/>
      <c r="P116"/>
      <c r="Q116"/>
      <c r="R116"/>
      <c r="S116"/>
      <c r="T116"/>
      <c r="U116"/>
    </row>
    <row r="117" spans="1:21" ht="20.100000000000001" customHeight="1" x14ac:dyDescent="0.3">
      <c r="A117"/>
      <c r="B117"/>
      <c r="C117"/>
      <c r="D117"/>
      <c r="E117"/>
      <c r="F117"/>
      <c r="G117"/>
      <c r="H117"/>
      <c r="I117"/>
      <c r="J117"/>
      <c r="K117"/>
      <c r="L117"/>
      <c r="M117"/>
      <c r="N117"/>
      <c r="O117"/>
      <c r="P117"/>
      <c r="Q117"/>
      <c r="R117"/>
      <c r="S117"/>
      <c r="T117"/>
      <c r="U117"/>
    </row>
    <row r="118" spans="1:21" ht="20.100000000000001" customHeight="1" x14ac:dyDescent="0.3">
      <c r="A118"/>
      <c r="B118"/>
      <c r="C118"/>
      <c r="D118"/>
      <c r="E118"/>
      <c r="F118"/>
      <c r="G118"/>
      <c r="H118"/>
      <c r="I118"/>
      <c r="J118"/>
      <c r="K118"/>
      <c r="L118"/>
      <c r="M118"/>
      <c r="N118"/>
      <c r="O118"/>
      <c r="P118"/>
      <c r="Q118"/>
      <c r="R118"/>
      <c r="S118"/>
      <c r="T118"/>
      <c r="U118"/>
    </row>
    <row r="119" spans="1:21" ht="20.100000000000001" customHeight="1" x14ac:dyDescent="0.3">
      <c r="A119"/>
      <c r="B119"/>
      <c r="C119"/>
      <c r="D119"/>
      <c r="E119"/>
      <c r="F119"/>
      <c r="G119"/>
      <c r="H119"/>
      <c r="I119"/>
      <c r="J119"/>
      <c r="K119"/>
      <c r="L119"/>
      <c r="M119"/>
      <c r="N119"/>
      <c r="O119"/>
      <c r="P119"/>
      <c r="Q119"/>
      <c r="R119"/>
      <c r="S119"/>
      <c r="T119"/>
      <c r="U119"/>
    </row>
    <row r="120" spans="1:21" ht="20.100000000000001" customHeight="1" x14ac:dyDescent="0.3">
      <c r="A120"/>
      <c r="B120"/>
      <c r="C120"/>
      <c r="D120"/>
      <c r="E120"/>
      <c r="F120"/>
      <c r="G120"/>
      <c r="H120"/>
      <c r="I120"/>
      <c r="J120"/>
      <c r="K120"/>
      <c r="L120"/>
      <c r="M120"/>
      <c r="N120"/>
      <c r="O120"/>
      <c r="P120"/>
      <c r="Q120"/>
      <c r="R120"/>
      <c r="S120"/>
      <c r="T120"/>
      <c r="U120"/>
    </row>
    <row r="121" spans="1:21" ht="20.100000000000001" customHeight="1" x14ac:dyDescent="0.3">
      <c r="A121"/>
      <c r="B121"/>
      <c r="C121"/>
      <c r="D121"/>
      <c r="E121"/>
      <c r="F121"/>
      <c r="G121"/>
      <c r="H121"/>
      <c r="I121"/>
      <c r="J121"/>
      <c r="K121"/>
      <c r="L121"/>
      <c r="M121"/>
      <c r="N121"/>
      <c r="O121"/>
      <c r="P121"/>
      <c r="Q121"/>
      <c r="R121"/>
      <c r="S121"/>
      <c r="T121"/>
      <c r="U121"/>
    </row>
    <row r="122" spans="1:21" ht="20.100000000000001" customHeight="1" x14ac:dyDescent="0.3">
      <c r="A122"/>
      <c r="B122"/>
      <c r="C122"/>
      <c r="D122"/>
      <c r="E122"/>
      <c r="F122"/>
      <c r="G122"/>
      <c r="H122"/>
      <c r="I122"/>
      <c r="J122"/>
      <c r="K122"/>
      <c r="L122"/>
      <c r="M122"/>
      <c r="N122"/>
      <c r="O122"/>
      <c r="P122"/>
      <c r="Q122"/>
      <c r="R122"/>
      <c r="S122"/>
      <c r="T122"/>
      <c r="U122"/>
    </row>
    <row r="123" spans="1:21" ht="20.100000000000001" customHeight="1" x14ac:dyDescent="0.3">
      <c r="A123"/>
      <c r="B123"/>
      <c r="C123"/>
      <c r="D123"/>
      <c r="E123"/>
      <c r="F123"/>
      <c r="G123"/>
      <c r="H123"/>
      <c r="I123"/>
      <c r="J123"/>
      <c r="K123"/>
      <c r="L123"/>
      <c r="M123"/>
      <c r="N123"/>
      <c r="O123"/>
      <c r="P123"/>
      <c r="Q123"/>
      <c r="R123"/>
      <c r="S123"/>
      <c r="T123"/>
      <c r="U123"/>
    </row>
    <row r="124" spans="1:21" ht="20.100000000000001" customHeight="1" x14ac:dyDescent="0.3">
      <c r="A124"/>
      <c r="B124"/>
      <c r="C124"/>
      <c r="D124"/>
      <c r="E124"/>
      <c r="F124"/>
      <c r="G124"/>
      <c r="H124"/>
      <c r="I124"/>
      <c r="J124"/>
      <c r="K124"/>
      <c r="L124"/>
      <c r="M124"/>
      <c r="N124"/>
      <c r="O124"/>
      <c r="P124"/>
      <c r="Q124"/>
      <c r="R124"/>
      <c r="S124"/>
      <c r="T124"/>
      <c r="U124"/>
    </row>
    <row r="125" spans="1:21" ht="20.100000000000001" customHeight="1" x14ac:dyDescent="0.3">
      <c r="A125"/>
      <c r="B125"/>
      <c r="C125"/>
      <c r="D125"/>
      <c r="E125"/>
      <c r="F125"/>
      <c r="G125"/>
      <c r="H125"/>
      <c r="I125"/>
      <c r="J125"/>
      <c r="K125"/>
      <c r="L125"/>
      <c r="M125"/>
      <c r="N125"/>
      <c r="O125"/>
      <c r="P125"/>
      <c r="Q125"/>
      <c r="R125"/>
      <c r="S125"/>
      <c r="T125"/>
      <c r="U125"/>
    </row>
    <row r="126" spans="1:21" ht="20.100000000000001" customHeight="1" x14ac:dyDescent="0.3">
      <c r="A126"/>
      <c r="B126"/>
      <c r="C126"/>
      <c r="D126"/>
      <c r="E126"/>
      <c r="F126"/>
      <c r="G126"/>
      <c r="H126"/>
      <c r="I126"/>
      <c r="J126"/>
      <c r="K126"/>
      <c r="L126"/>
      <c r="M126"/>
      <c r="N126"/>
      <c r="O126"/>
      <c r="P126"/>
      <c r="Q126"/>
      <c r="R126"/>
      <c r="S126"/>
      <c r="T126"/>
      <c r="U126"/>
    </row>
    <row r="127" spans="1:21" ht="20.100000000000001" customHeight="1" x14ac:dyDescent="0.3">
      <c r="A127"/>
      <c r="B127"/>
      <c r="C127"/>
      <c r="D127"/>
      <c r="E127"/>
      <c r="F127"/>
      <c r="G127"/>
      <c r="H127"/>
      <c r="I127"/>
      <c r="J127"/>
      <c r="K127"/>
      <c r="L127"/>
      <c r="M127"/>
      <c r="N127"/>
      <c r="O127"/>
      <c r="P127"/>
      <c r="Q127"/>
      <c r="R127"/>
      <c r="S127"/>
      <c r="T127"/>
      <c r="U127"/>
    </row>
    <row r="128" spans="1:21" ht="20.100000000000001" customHeight="1" x14ac:dyDescent="0.3">
      <c r="A128" s="2"/>
      <c r="B128" s="2"/>
      <c r="C128" s="2"/>
      <c r="D128" s="2"/>
      <c r="E128" s="2"/>
      <c r="F128" s="2"/>
      <c r="G128" s="2"/>
      <c r="H128" s="2"/>
      <c r="I128" s="2"/>
      <c r="J128" s="2"/>
      <c r="K128" s="3"/>
      <c r="L128" s="2"/>
      <c r="M128" s="2"/>
      <c r="N128" s="2"/>
      <c r="O128" s="2"/>
      <c r="P128" s="2"/>
      <c r="Q128" s="16"/>
      <c r="R128" s="16"/>
      <c r="S128" s="17"/>
    </row>
    <row r="129" spans="1:19" ht="20.100000000000001" customHeight="1" x14ac:dyDescent="0.3">
      <c r="A129" s="2"/>
      <c r="B129" s="2"/>
      <c r="C129" s="2"/>
      <c r="D129" s="2"/>
      <c r="E129" s="2"/>
      <c r="F129" s="2"/>
      <c r="G129" s="2"/>
      <c r="H129" s="2"/>
      <c r="I129" s="2"/>
      <c r="J129" s="2"/>
      <c r="K129" s="3"/>
      <c r="L129" s="2"/>
      <c r="M129" s="2"/>
      <c r="N129" s="2"/>
      <c r="O129" s="2"/>
      <c r="P129" s="2"/>
      <c r="Q129" s="16"/>
      <c r="R129" s="16"/>
      <c r="S129" s="17"/>
    </row>
    <row r="130" spans="1:19" ht="20.100000000000001" customHeight="1" x14ac:dyDescent="0.3">
      <c r="A130" s="2"/>
      <c r="B130" s="2"/>
      <c r="C130" s="2"/>
      <c r="D130" s="2"/>
      <c r="E130" s="2"/>
      <c r="F130" s="2"/>
      <c r="G130" s="2"/>
      <c r="H130" s="2"/>
      <c r="I130" s="2"/>
      <c r="J130" s="2"/>
      <c r="K130" s="3"/>
      <c r="L130" s="2"/>
      <c r="M130" s="2"/>
      <c r="N130" s="2"/>
      <c r="O130" s="2"/>
      <c r="P130" s="2"/>
      <c r="Q130" s="16"/>
      <c r="R130" s="16"/>
      <c r="S130" s="17"/>
    </row>
    <row r="131" spans="1:19" ht="20.100000000000001" customHeight="1" x14ac:dyDescent="0.3">
      <c r="A131" s="2"/>
      <c r="B131" s="2"/>
      <c r="C131" s="2"/>
      <c r="D131" s="2"/>
      <c r="E131" s="2"/>
      <c r="F131" s="2"/>
      <c r="G131" s="2"/>
      <c r="H131" s="2"/>
      <c r="I131" s="2"/>
      <c r="J131" s="2"/>
      <c r="K131" s="3"/>
      <c r="L131" s="2"/>
      <c r="M131" s="2"/>
      <c r="N131" s="2"/>
      <c r="O131" s="2"/>
      <c r="P131" s="2"/>
      <c r="Q131" s="16"/>
      <c r="R131" s="16"/>
      <c r="S131" s="17"/>
    </row>
    <row r="132" spans="1:19" ht="20.100000000000001" customHeight="1" x14ac:dyDescent="0.3">
      <c r="A132" s="2"/>
      <c r="B132" s="2"/>
      <c r="C132" s="2"/>
      <c r="D132" s="2"/>
      <c r="E132" s="2"/>
      <c r="F132" s="2"/>
      <c r="G132" s="2"/>
      <c r="H132" s="2"/>
      <c r="I132" s="2"/>
      <c r="J132" s="2"/>
      <c r="K132" s="3"/>
      <c r="L132" s="2"/>
      <c r="M132" s="2"/>
      <c r="N132" s="2"/>
      <c r="O132" s="2"/>
      <c r="P132" s="2"/>
      <c r="Q132" s="16"/>
      <c r="R132" s="16"/>
      <c r="S132" s="17"/>
    </row>
    <row r="133" spans="1:19" ht="20.100000000000001" customHeight="1" x14ac:dyDescent="0.3">
      <c r="A133" s="2"/>
      <c r="B133" s="2"/>
      <c r="C133" s="2"/>
      <c r="D133" s="2"/>
      <c r="E133" s="2"/>
      <c r="F133" s="2"/>
      <c r="G133" s="2"/>
      <c r="H133" s="2"/>
      <c r="I133" s="2"/>
      <c r="J133" s="2"/>
      <c r="K133" s="3"/>
      <c r="L133" s="2"/>
      <c r="M133" s="2"/>
      <c r="N133" s="2"/>
      <c r="O133" s="2"/>
      <c r="P133" s="2"/>
      <c r="Q133" s="16"/>
      <c r="R133" s="16"/>
      <c r="S133" s="17"/>
    </row>
    <row r="134" spans="1:19" ht="20.100000000000001" customHeight="1" x14ac:dyDescent="0.3">
      <c r="A134" s="2"/>
      <c r="B134" s="2"/>
      <c r="C134" s="2"/>
      <c r="D134" s="2"/>
      <c r="E134" s="2"/>
      <c r="F134" s="2"/>
      <c r="G134" s="2"/>
      <c r="H134" s="2"/>
      <c r="I134" s="2"/>
      <c r="J134" s="2"/>
      <c r="K134" s="3"/>
      <c r="L134" s="2"/>
      <c r="M134" s="2"/>
      <c r="N134" s="2"/>
      <c r="O134" s="2"/>
      <c r="P134" s="2"/>
      <c r="Q134" s="16"/>
      <c r="R134" s="16"/>
      <c r="S134" s="17"/>
    </row>
    <row r="135" spans="1:19" ht="20.100000000000001" customHeight="1" x14ac:dyDescent="0.3">
      <c r="A135" s="2"/>
      <c r="B135" s="2"/>
      <c r="C135" s="2"/>
      <c r="D135" s="2"/>
      <c r="E135" s="2"/>
      <c r="F135" s="2"/>
      <c r="G135" s="2"/>
      <c r="H135" s="2"/>
      <c r="I135" s="2"/>
      <c r="J135" s="2"/>
      <c r="K135" s="3"/>
      <c r="L135" s="2"/>
      <c r="M135" s="2"/>
      <c r="N135" s="2"/>
      <c r="O135" s="2"/>
      <c r="P135" s="2"/>
      <c r="Q135" s="16"/>
      <c r="R135" s="16"/>
      <c r="S135" s="17"/>
    </row>
    <row r="136" spans="1:19" ht="20.100000000000001" customHeight="1" x14ac:dyDescent="0.3">
      <c r="A136" s="2"/>
      <c r="B136" s="2"/>
      <c r="C136" s="2"/>
      <c r="D136" s="2"/>
      <c r="E136" s="2"/>
      <c r="F136" s="2"/>
      <c r="G136" s="2"/>
      <c r="H136" s="2"/>
      <c r="I136" s="2"/>
      <c r="J136" s="2"/>
      <c r="K136" s="3"/>
      <c r="L136" s="2"/>
      <c r="M136" s="2"/>
      <c r="N136" s="2"/>
      <c r="O136" s="2"/>
      <c r="P136" s="2"/>
      <c r="Q136" s="16"/>
      <c r="R136" s="16"/>
      <c r="S136" s="17"/>
    </row>
    <row r="137" spans="1:19" ht="20.100000000000001" customHeight="1" x14ac:dyDescent="0.3">
      <c r="A137" s="2"/>
      <c r="B137" s="2"/>
      <c r="C137" s="2"/>
      <c r="D137" s="2"/>
      <c r="E137" s="2"/>
      <c r="F137" s="2"/>
      <c r="G137" s="2"/>
      <c r="H137" s="2"/>
      <c r="I137" s="2"/>
      <c r="J137" s="2"/>
      <c r="K137" s="3"/>
      <c r="L137" s="2"/>
      <c r="M137" s="2"/>
      <c r="N137" s="2"/>
      <c r="O137" s="2"/>
      <c r="P137" s="2"/>
      <c r="Q137" s="16"/>
      <c r="R137" s="16"/>
      <c r="S137" s="17"/>
    </row>
    <row r="138" spans="1:19" ht="20.100000000000001" customHeight="1" x14ac:dyDescent="0.3">
      <c r="A138" s="2"/>
      <c r="B138" s="2"/>
      <c r="C138" s="2"/>
      <c r="D138" s="2"/>
      <c r="E138" s="2"/>
      <c r="F138" s="2"/>
      <c r="G138" s="2"/>
      <c r="H138" s="2"/>
      <c r="I138" s="2"/>
      <c r="J138" s="2"/>
      <c r="K138" s="3"/>
      <c r="L138" s="2"/>
      <c r="M138" s="2"/>
      <c r="N138" s="2"/>
      <c r="O138" s="2"/>
      <c r="P138" s="2"/>
      <c r="Q138" s="16"/>
      <c r="R138" s="16"/>
      <c r="S138" s="17"/>
    </row>
    <row r="139" spans="1:19" ht="20.100000000000001" customHeight="1" x14ac:dyDescent="0.3">
      <c r="A139" s="2"/>
      <c r="B139" s="2"/>
      <c r="C139" s="2"/>
      <c r="D139" s="2"/>
      <c r="E139" s="2"/>
      <c r="F139" s="2"/>
      <c r="G139" s="2"/>
      <c r="H139" s="2"/>
      <c r="I139" s="2"/>
      <c r="J139" s="2"/>
      <c r="K139" s="3"/>
      <c r="L139" s="2"/>
      <c r="M139" s="2"/>
      <c r="N139" s="2"/>
      <c r="O139" s="2"/>
      <c r="P139" s="2"/>
      <c r="Q139" s="16"/>
      <c r="R139" s="16"/>
      <c r="S139" s="17"/>
    </row>
    <row r="140" spans="1:19" ht="20.100000000000001" customHeight="1" x14ac:dyDescent="0.3">
      <c r="A140" s="2"/>
      <c r="B140" s="2"/>
      <c r="C140" s="2"/>
      <c r="D140" s="2"/>
      <c r="E140" s="2"/>
      <c r="F140" s="2"/>
      <c r="G140" s="2"/>
      <c r="H140" s="2"/>
      <c r="I140" s="2"/>
      <c r="J140" s="2"/>
      <c r="K140" s="3"/>
      <c r="L140" s="2"/>
      <c r="M140" s="2"/>
      <c r="N140" s="2"/>
      <c r="O140" s="2"/>
      <c r="P140" s="2"/>
      <c r="Q140" s="16"/>
      <c r="R140" s="16"/>
      <c r="S140" s="17"/>
    </row>
    <row r="141" spans="1:19" ht="20.100000000000001" customHeight="1" x14ac:dyDescent="0.3">
      <c r="A141" s="2"/>
      <c r="B141" s="2"/>
      <c r="C141" s="2"/>
      <c r="D141" s="2"/>
      <c r="E141" s="2"/>
      <c r="F141" s="2"/>
      <c r="G141" s="2"/>
      <c r="H141" s="2"/>
      <c r="I141" s="2"/>
      <c r="J141" s="2"/>
      <c r="K141" s="3"/>
      <c r="L141" s="2"/>
      <c r="M141" s="2"/>
      <c r="N141" s="2"/>
      <c r="O141" s="2"/>
      <c r="P141" s="2"/>
      <c r="Q141" s="16"/>
      <c r="R141" s="16"/>
      <c r="S141" s="17"/>
    </row>
    <row r="142" spans="1:19" ht="20.100000000000001" customHeight="1" x14ac:dyDescent="0.3">
      <c r="A142" s="2"/>
      <c r="B142" s="2"/>
      <c r="C142" s="2"/>
      <c r="D142" s="2"/>
      <c r="E142" s="2"/>
      <c r="F142" s="2"/>
      <c r="G142" s="2"/>
      <c r="H142" s="2"/>
      <c r="I142" s="2"/>
      <c r="J142" s="2"/>
      <c r="K142" s="3"/>
      <c r="L142" s="2"/>
      <c r="M142" s="2"/>
      <c r="N142" s="2"/>
      <c r="O142" s="2"/>
      <c r="P142" s="2"/>
      <c r="Q142" s="16"/>
      <c r="R142" s="16"/>
      <c r="S142" s="17"/>
    </row>
    <row r="143" spans="1:19" ht="20.100000000000001" customHeight="1" x14ac:dyDescent="0.3">
      <c r="A143" s="2"/>
      <c r="B143" s="2"/>
      <c r="C143" s="2"/>
      <c r="D143" s="2"/>
      <c r="E143" s="2"/>
      <c r="F143" s="2"/>
      <c r="G143" s="2"/>
      <c r="H143" s="2"/>
      <c r="I143" s="2"/>
      <c r="J143" s="2"/>
      <c r="K143" s="3"/>
      <c r="L143" s="2"/>
      <c r="M143" s="2"/>
      <c r="N143" s="2"/>
      <c r="O143" s="2"/>
      <c r="P143" s="2"/>
      <c r="Q143" s="16"/>
      <c r="R143" s="16"/>
      <c r="S143" s="17"/>
    </row>
    <row r="144" spans="1:19" ht="20.100000000000001" customHeight="1" x14ac:dyDescent="0.3">
      <c r="A144" s="2"/>
      <c r="B144" s="2"/>
      <c r="C144" s="2"/>
      <c r="D144" s="2"/>
      <c r="E144" s="2"/>
      <c r="F144" s="2"/>
      <c r="G144" s="2"/>
      <c r="H144" s="2"/>
      <c r="I144" s="2"/>
      <c r="J144" s="2"/>
      <c r="K144" s="3"/>
      <c r="L144" s="2"/>
      <c r="M144" s="2"/>
      <c r="N144" s="2"/>
      <c r="O144" s="2"/>
      <c r="P144" s="2"/>
      <c r="Q144" s="16"/>
      <c r="R144" s="16"/>
      <c r="S144" s="17"/>
    </row>
    <row r="145" spans="1:19" ht="20.100000000000001" customHeight="1" x14ac:dyDescent="0.3">
      <c r="A145" s="2"/>
      <c r="B145" s="2"/>
      <c r="C145" s="2"/>
      <c r="D145" s="2"/>
      <c r="E145" s="2"/>
      <c r="F145" s="2"/>
      <c r="G145" s="2"/>
      <c r="H145" s="2"/>
      <c r="I145" s="2"/>
      <c r="J145" s="2"/>
      <c r="K145" s="3"/>
      <c r="L145" s="2"/>
      <c r="M145" s="2"/>
      <c r="N145" s="2"/>
      <c r="O145" s="2"/>
      <c r="P145" s="2"/>
      <c r="Q145" s="16"/>
      <c r="R145" s="16"/>
      <c r="S145" s="17"/>
    </row>
    <row r="146" spans="1:19" ht="20.100000000000001" customHeight="1" x14ac:dyDescent="0.3">
      <c r="A146" s="2"/>
      <c r="B146" s="2"/>
      <c r="C146" s="2"/>
      <c r="D146" s="2"/>
      <c r="E146" s="2"/>
      <c r="F146" s="2"/>
      <c r="G146" s="2"/>
      <c r="H146" s="2"/>
      <c r="I146" s="2"/>
      <c r="J146" s="2"/>
      <c r="K146" s="3"/>
      <c r="L146" s="2"/>
      <c r="M146" s="2"/>
      <c r="N146" s="2"/>
      <c r="O146" s="2"/>
      <c r="P146" s="2"/>
      <c r="Q146" s="16"/>
      <c r="R146" s="16"/>
      <c r="S146" s="17"/>
    </row>
    <row r="147" spans="1:19" ht="20.100000000000001" customHeight="1" x14ac:dyDescent="0.3">
      <c r="A147" s="2"/>
      <c r="B147" s="2"/>
      <c r="C147" s="2"/>
      <c r="D147" s="2"/>
      <c r="E147" s="2"/>
      <c r="F147" s="2"/>
      <c r="G147" s="2"/>
      <c r="H147" s="2"/>
      <c r="I147" s="2"/>
      <c r="J147" s="2"/>
      <c r="K147" s="3"/>
      <c r="L147" s="2"/>
      <c r="M147" s="2"/>
      <c r="N147" s="2"/>
      <c r="O147" s="2"/>
      <c r="P147" s="2"/>
      <c r="Q147" s="16"/>
      <c r="R147" s="16"/>
      <c r="S147" s="17"/>
    </row>
    <row r="148" spans="1:19" ht="20.100000000000001" customHeight="1" x14ac:dyDescent="0.3">
      <c r="A148" s="2"/>
      <c r="B148" s="2"/>
      <c r="C148" s="2"/>
      <c r="D148" s="2"/>
      <c r="E148" s="2"/>
      <c r="F148" s="2"/>
      <c r="G148" s="2"/>
      <c r="H148" s="2"/>
      <c r="I148" s="2"/>
      <c r="J148" s="2"/>
      <c r="K148" s="3"/>
      <c r="L148" s="2"/>
      <c r="M148" s="2"/>
      <c r="N148" s="2"/>
      <c r="O148" s="2"/>
      <c r="P148" s="2"/>
      <c r="Q148" s="16"/>
      <c r="R148" s="16"/>
      <c r="S148" s="17"/>
    </row>
    <row r="149" spans="1:19" ht="20.100000000000001" customHeight="1" x14ac:dyDescent="0.3">
      <c r="A149" s="2"/>
      <c r="B149" s="2"/>
      <c r="C149" s="2"/>
      <c r="D149" s="2"/>
      <c r="E149" s="2"/>
      <c r="F149" s="2"/>
      <c r="G149" s="2"/>
      <c r="H149" s="2"/>
      <c r="I149" s="2"/>
      <c r="J149" s="2"/>
      <c r="K149" s="3"/>
      <c r="L149" s="2"/>
      <c r="M149" s="2"/>
      <c r="N149" s="2"/>
      <c r="O149" s="2"/>
      <c r="P149" s="2"/>
      <c r="Q149" s="16"/>
      <c r="R149" s="16"/>
      <c r="S149" s="17"/>
    </row>
    <row r="150" spans="1:19" ht="20.100000000000001" customHeight="1" x14ac:dyDescent="0.3">
      <c r="A150" s="2"/>
      <c r="B150" s="2"/>
      <c r="C150" s="2"/>
      <c r="D150" s="2"/>
      <c r="E150" s="2"/>
      <c r="F150" s="2"/>
      <c r="G150" s="2"/>
      <c r="H150" s="2"/>
      <c r="I150" s="2"/>
      <c r="J150" s="2"/>
      <c r="K150" s="3"/>
      <c r="L150" s="2"/>
      <c r="M150" s="2"/>
      <c r="N150" s="2"/>
      <c r="O150" s="2"/>
      <c r="P150" s="2"/>
      <c r="Q150" s="16"/>
      <c r="R150" s="16"/>
      <c r="S150" s="17"/>
    </row>
    <row r="151" spans="1:19" ht="20.100000000000001" customHeight="1" x14ac:dyDescent="0.3">
      <c r="A151" s="2"/>
      <c r="B151" s="2"/>
      <c r="C151" s="2"/>
      <c r="D151" s="2"/>
      <c r="E151" s="2"/>
      <c r="F151" s="2"/>
      <c r="G151" s="2"/>
      <c r="H151" s="2"/>
      <c r="I151" s="2"/>
      <c r="J151" s="2"/>
      <c r="K151" s="3"/>
      <c r="L151" s="2"/>
      <c r="M151" s="2"/>
      <c r="N151" s="2"/>
      <c r="O151" s="2"/>
      <c r="P151" s="2"/>
      <c r="Q151" s="16"/>
      <c r="R151" s="16"/>
      <c r="S151" s="17"/>
    </row>
    <row r="152" spans="1:19" ht="20.100000000000001" customHeight="1" x14ac:dyDescent="0.3">
      <c r="A152" s="2"/>
      <c r="B152" s="2"/>
      <c r="C152" s="2"/>
      <c r="D152" s="2"/>
      <c r="E152" s="2"/>
      <c r="F152" s="2"/>
      <c r="G152" s="2"/>
      <c r="H152" s="2"/>
      <c r="I152" s="2"/>
      <c r="J152" s="2"/>
      <c r="K152" s="3"/>
      <c r="L152" s="2"/>
      <c r="M152" s="2"/>
      <c r="N152" s="2"/>
      <c r="O152" s="2"/>
      <c r="P152" s="2"/>
      <c r="Q152" s="16"/>
      <c r="R152" s="16"/>
      <c r="S152" s="17"/>
    </row>
    <row r="153" spans="1:19" ht="20.100000000000001" customHeight="1" x14ac:dyDescent="0.3">
      <c r="A153" s="2"/>
      <c r="B153" s="2"/>
      <c r="C153" s="2"/>
      <c r="D153" s="2"/>
      <c r="E153" s="2"/>
      <c r="F153" s="2"/>
      <c r="G153" s="2"/>
      <c r="H153" s="2"/>
      <c r="I153" s="2"/>
      <c r="J153" s="2"/>
      <c r="K153" s="3"/>
      <c r="L153" s="2"/>
      <c r="M153" s="2"/>
      <c r="N153" s="2"/>
      <c r="O153" s="2"/>
      <c r="P153" s="2"/>
      <c r="Q153" s="16"/>
      <c r="R153" s="16"/>
      <c r="S153" s="17"/>
    </row>
    <row r="154" spans="1:19" ht="20.100000000000001" customHeight="1" x14ac:dyDescent="0.3">
      <c r="A154" s="2"/>
      <c r="B154" s="2"/>
      <c r="C154" s="2"/>
      <c r="D154" s="2"/>
      <c r="E154" s="2"/>
      <c r="F154" s="2"/>
      <c r="G154" s="2"/>
      <c r="H154" s="2"/>
      <c r="I154" s="2"/>
      <c r="J154" s="2"/>
      <c r="K154" s="3"/>
      <c r="L154" s="2"/>
      <c r="M154" s="2"/>
      <c r="N154" s="2"/>
      <c r="O154" s="2"/>
      <c r="P154" s="2"/>
      <c r="Q154" s="16"/>
      <c r="R154" s="16"/>
      <c r="S154" s="17"/>
    </row>
    <row r="155" spans="1:19" ht="20.100000000000001" customHeight="1" x14ac:dyDescent="0.3">
      <c r="A155" s="2"/>
      <c r="B155" s="2"/>
      <c r="C155" s="2"/>
      <c r="D155" s="2"/>
      <c r="E155" s="2"/>
      <c r="F155" s="2"/>
      <c r="G155" s="2"/>
      <c r="H155" s="2"/>
      <c r="I155" s="2"/>
      <c r="J155" s="2"/>
      <c r="K155" s="3"/>
      <c r="L155" s="2"/>
      <c r="M155" s="2"/>
      <c r="N155" s="2"/>
      <c r="O155" s="2"/>
      <c r="P155" s="2"/>
      <c r="Q155" s="16"/>
      <c r="R155" s="16"/>
      <c r="S155" s="17"/>
    </row>
    <row r="156" spans="1:19" ht="20.100000000000001" customHeight="1" x14ac:dyDescent="0.3">
      <c r="A156" s="2"/>
      <c r="B156" s="2"/>
      <c r="C156" s="2"/>
      <c r="D156" s="2"/>
      <c r="E156" s="2"/>
      <c r="F156" s="2"/>
      <c r="G156" s="2"/>
      <c r="H156" s="2"/>
      <c r="I156" s="2"/>
      <c r="J156" s="2"/>
      <c r="K156" s="3"/>
      <c r="L156" s="2"/>
      <c r="M156" s="2"/>
      <c r="N156" s="2"/>
      <c r="O156" s="2"/>
      <c r="P156" s="2"/>
      <c r="Q156" s="16"/>
      <c r="R156" s="16"/>
      <c r="S156" s="17"/>
    </row>
    <row r="157" spans="1:19" ht="20.100000000000001" customHeight="1" x14ac:dyDescent="0.3">
      <c r="A157" s="2"/>
      <c r="B157" s="2"/>
      <c r="C157" s="2"/>
      <c r="D157" s="2"/>
      <c r="E157" s="2"/>
      <c r="F157" s="2"/>
      <c r="G157" s="2"/>
      <c r="H157" s="2"/>
      <c r="I157" s="2"/>
      <c r="J157" s="2"/>
      <c r="K157" s="3"/>
      <c r="L157" s="2"/>
      <c r="M157" s="2"/>
      <c r="N157" s="2"/>
      <c r="O157" s="2"/>
      <c r="P157" s="2"/>
      <c r="Q157" s="16"/>
      <c r="R157" s="16"/>
      <c r="S157" s="17"/>
    </row>
    <row r="158" spans="1:19" ht="20.100000000000001" customHeight="1" x14ac:dyDescent="0.3">
      <c r="A158" s="2"/>
      <c r="B158" s="2"/>
      <c r="C158" s="2"/>
      <c r="D158" s="2"/>
      <c r="E158" s="2"/>
      <c r="F158" s="2"/>
      <c r="G158" s="2"/>
      <c r="H158" s="2"/>
      <c r="I158" s="2"/>
      <c r="J158" s="2"/>
      <c r="K158" s="3"/>
      <c r="L158" s="2"/>
      <c r="M158" s="2"/>
      <c r="N158" s="2"/>
      <c r="O158" s="2"/>
      <c r="P158" s="2"/>
      <c r="Q158" s="16"/>
      <c r="R158" s="16"/>
      <c r="S158" s="17"/>
    </row>
    <row r="159" spans="1:19" ht="20.100000000000001" customHeight="1" x14ac:dyDescent="0.3">
      <c r="A159" s="2"/>
      <c r="B159" s="2"/>
      <c r="C159" s="2"/>
      <c r="D159" s="2"/>
      <c r="E159" s="2"/>
      <c r="F159" s="2"/>
      <c r="G159" s="2"/>
      <c r="H159" s="2"/>
      <c r="I159" s="2"/>
      <c r="J159" s="2"/>
      <c r="K159" s="3"/>
      <c r="L159" s="2"/>
      <c r="M159" s="2"/>
      <c r="N159" s="2"/>
      <c r="O159" s="2"/>
      <c r="P159" s="2"/>
      <c r="Q159" s="16"/>
      <c r="R159" s="16"/>
      <c r="S159" s="17"/>
    </row>
    <row r="160" spans="1:19" ht="20.100000000000001" customHeight="1" x14ac:dyDescent="0.3">
      <c r="A160" s="2"/>
      <c r="B160" s="2"/>
      <c r="C160" s="2"/>
      <c r="D160" s="2"/>
      <c r="E160" s="2"/>
      <c r="F160" s="2"/>
      <c r="G160" s="2"/>
      <c r="H160" s="2"/>
      <c r="I160" s="2"/>
      <c r="J160" s="2"/>
      <c r="K160" s="3"/>
      <c r="L160" s="2"/>
      <c r="M160" s="2"/>
      <c r="N160" s="2"/>
      <c r="O160" s="2"/>
      <c r="P160" s="2"/>
      <c r="Q160" s="16"/>
      <c r="R160" s="16"/>
      <c r="S160" s="17"/>
    </row>
    <row r="161" spans="1:19" ht="20.100000000000001" customHeight="1" x14ac:dyDescent="0.3">
      <c r="A161" s="2"/>
      <c r="B161" s="2"/>
      <c r="C161" s="2"/>
      <c r="D161" s="2"/>
      <c r="E161" s="2"/>
      <c r="F161" s="2"/>
      <c r="G161" s="2"/>
      <c r="H161" s="2"/>
      <c r="I161" s="2"/>
      <c r="J161" s="2"/>
      <c r="K161" s="3"/>
      <c r="L161" s="2"/>
      <c r="M161" s="2"/>
      <c r="N161" s="2"/>
      <c r="O161" s="2"/>
      <c r="P161" s="2"/>
      <c r="Q161" s="16"/>
      <c r="R161" s="16"/>
      <c r="S161" s="17"/>
    </row>
    <row r="162" spans="1:19" ht="20.100000000000001" customHeight="1" x14ac:dyDescent="0.3">
      <c r="A162" s="2"/>
      <c r="B162" s="2"/>
      <c r="C162" s="2"/>
      <c r="D162" s="2"/>
      <c r="E162" s="2"/>
      <c r="F162" s="2"/>
      <c r="G162" s="2"/>
      <c r="H162" s="2"/>
      <c r="I162" s="2"/>
      <c r="J162" s="2"/>
      <c r="K162" s="3"/>
      <c r="L162" s="2"/>
      <c r="M162" s="2"/>
      <c r="N162" s="2"/>
      <c r="O162" s="2"/>
      <c r="P162" s="2"/>
      <c r="Q162" s="16"/>
      <c r="R162" s="16"/>
      <c r="S162" s="17"/>
    </row>
    <row r="163" spans="1:19" ht="20.100000000000001" customHeight="1" x14ac:dyDescent="0.3">
      <c r="A163" s="2"/>
      <c r="B163" s="2"/>
      <c r="C163" s="2"/>
      <c r="D163" s="2"/>
      <c r="E163" s="2"/>
      <c r="F163" s="2"/>
      <c r="G163" s="2"/>
      <c r="H163" s="2"/>
      <c r="I163" s="2"/>
      <c r="J163" s="2"/>
      <c r="K163" s="3"/>
      <c r="L163" s="2"/>
      <c r="M163" s="2"/>
      <c r="N163" s="2"/>
      <c r="O163" s="2"/>
      <c r="P163" s="2"/>
      <c r="Q163" s="16"/>
      <c r="R163" s="16"/>
      <c r="S163" s="17"/>
    </row>
    <row r="164" spans="1:19" ht="20.100000000000001" customHeight="1" x14ac:dyDescent="0.3">
      <c r="A164" s="2"/>
      <c r="B164" s="2"/>
      <c r="C164" s="2"/>
      <c r="D164" s="2"/>
      <c r="E164" s="2"/>
      <c r="F164" s="2"/>
      <c r="G164" s="2"/>
      <c r="H164" s="2"/>
      <c r="I164" s="2"/>
      <c r="J164" s="2"/>
      <c r="K164" s="3"/>
      <c r="L164" s="2"/>
      <c r="M164" s="2"/>
      <c r="N164" s="2"/>
      <c r="O164" s="2"/>
      <c r="P164" s="2"/>
      <c r="Q164" s="16"/>
      <c r="R164" s="16"/>
      <c r="S164" s="17"/>
    </row>
    <row r="165" spans="1:19" ht="20.100000000000001" customHeight="1" x14ac:dyDescent="0.3">
      <c r="A165" s="2"/>
      <c r="B165" s="2"/>
      <c r="C165" s="2"/>
      <c r="D165" s="2"/>
      <c r="E165" s="2"/>
      <c r="F165" s="2"/>
      <c r="G165" s="2"/>
      <c r="H165" s="2"/>
      <c r="I165" s="2"/>
      <c r="J165" s="2"/>
      <c r="K165" s="3"/>
      <c r="L165" s="2"/>
      <c r="M165" s="2"/>
      <c r="N165" s="2"/>
      <c r="O165" s="2"/>
      <c r="P165" s="2"/>
      <c r="Q165" s="16"/>
      <c r="R165" s="16"/>
      <c r="S165" s="17"/>
    </row>
    <row r="166" spans="1:19" ht="20.100000000000001" customHeight="1" x14ac:dyDescent="0.3">
      <c r="A166" s="2"/>
      <c r="B166" s="2"/>
      <c r="C166" s="2"/>
      <c r="D166" s="2"/>
      <c r="E166" s="2"/>
      <c r="F166" s="2"/>
      <c r="G166" s="2"/>
      <c r="H166" s="2"/>
      <c r="I166" s="2"/>
      <c r="J166" s="2"/>
      <c r="K166" s="3"/>
      <c r="L166" s="2"/>
      <c r="M166" s="2"/>
      <c r="N166" s="2"/>
      <c r="O166" s="2"/>
      <c r="P166" s="2"/>
      <c r="Q166" s="16"/>
      <c r="R166" s="16"/>
      <c r="S166" s="17"/>
    </row>
    <row r="167" spans="1:19" ht="20.100000000000001" customHeight="1" x14ac:dyDescent="0.3">
      <c r="A167" s="2"/>
      <c r="B167" s="2"/>
      <c r="C167" s="2"/>
      <c r="D167" s="2"/>
      <c r="E167" s="2"/>
      <c r="F167" s="2"/>
      <c r="G167" s="2"/>
      <c r="H167" s="2"/>
      <c r="I167" s="2"/>
      <c r="J167" s="2"/>
      <c r="K167" s="3"/>
      <c r="L167" s="2"/>
      <c r="M167" s="2"/>
      <c r="N167" s="2"/>
      <c r="O167" s="2"/>
      <c r="P167" s="2"/>
      <c r="Q167" s="16"/>
      <c r="R167" s="16"/>
      <c r="S167" s="17"/>
    </row>
    <row r="168" spans="1:19" ht="20.100000000000001" customHeight="1" x14ac:dyDescent="0.3">
      <c r="A168" s="2"/>
      <c r="B168" s="2"/>
      <c r="C168" s="2"/>
      <c r="D168" s="2"/>
      <c r="E168" s="2"/>
      <c r="F168" s="2"/>
      <c r="G168" s="2"/>
      <c r="H168" s="2"/>
      <c r="I168" s="2"/>
      <c r="J168" s="2"/>
      <c r="K168" s="3"/>
      <c r="L168" s="2"/>
      <c r="M168" s="2"/>
      <c r="N168" s="2"/>
      <c r="O168" s="2"/>
      <c r="P168" s="2"/>
      <c r="Q168" s="16"/>
      <c r="R168" s="16"/>
      <c r="S168" s="17"/>
    </row>
    <row r="169" spans="1:19" ht="20.100000000000001" customHeight="1" x14ac:dyDescent="0.3">
      <c r="A169" s="2"/>
      <c r="B169" s="2"/>
      <c r="C169" s="2"/>
      <c r="D169" s="2"/>
      <c r="E169" s="2"/>
      <c r="F169" s="2"/>
      <c r="G169" s="2"/>
      <c r="H169" s="2"/>
      <c r="I169" s="2"/>
      <c r="J169" s="2"/>
      <c r="K169" s="3"/>
      <c r="L169" s="2"/>
      <c r="M169" s="2"/>
      <c r="N169" s="2"/>
      <c r="O169" s="2"/>
      <c r="P169" s="2"/>
      <c r="Q169" s="16"/>
      <c r="R169" s="16"/>
      <c r="S169" s="17"/>
    </row>
    <row r="170" spans="1:19" ht="20.100000000000001" customHeight="1" x14ac:dyDescent="0.3">
      <c r="A170" s="2"/>
      <c r="B170" s="2"/>
      <c r="C170" s="2"/>
      <c r="D170" s="2"/>
      <c r="E170" s="2"/>
      <c r="F170" s="2"/>
      <c r="G170" s="2"/>
      <c r="H170" s="2"/>
      <c r="I170" s="2"/>
      <c r="J170" s="2"/>
      <c r="K170" s="3"/>
      <c r="L170" s="2"/>
      <c r="M170" s="2"/>
      <c r="N170" s="2"/>
      <c r="O170" s="2"/>
      <c r="P170" s="2"/>
      <c r="Q170" s="16"/>
      <c r="R170" s="16"/>
      <c r="S170" s="17"/>
    </row>
    <row r="171" spans="1:19" ht="20.100000000000001" customHeight="1" x14ac:dyDescent="0.3">
      <c r="A171" s="2"/>
      <c r="B171" s="2"/>
      <c r="C171" s="2"/>
      <c r="D171" s="2"/>
      <c r="E171" s="2"/>
      <c r="F171" s="2"/>
      <c r="G171" s="2"/>
      <c r="H171" s="2"/>
      <c r="I171" s="2"/>
      <c r="J171" s="2"/>
      <c r="K171" s="3"/>
      <c r="L171" s="2"/>
      <c r="M171" s="2"/>
      <c r="N171" s="2"/>
      <c r="O171" s="2"/>
      <c r="P171" s="2"/>
      <c r="Q171" s="16"/>
      <c r="R171" s="16"/>
      <c r="S171" s="17"/>
    </row>
    <row r="172" spans="1:19" ht="20.100000000000001" customHeight="1" x14ac:dyDescent="0.3">
      <c r="A172" s="2"/>
      <c r="B172" s="2"/>
      <c r="C172" s="2"/>
      <c r="D172" s="2"/>
      <c r="E172" s="2"/>
      <c r="F172" s="2"/>
      <c r="G172" s="2"/>
      <c r="H172" s="2"/>
      <c r="I172" s="2"/>
      <c r="J172" s="2"/>
      <c r="K172" s="3"/>
      <c r="L172" s="2"/>
      <c r="M172" s="2"/>
      <c r="N172" s="2"/>
      <c r="O172" s="2"/>
      <c r="P172" s="2"/>
      <c r="Q172" s="16"/>
      <c r="R172" s="16"/>
      <c r="S172" s="17"/>
    </row>
    <row r="173" spans="1:19" ht="20.100000000000001" customHeight="1" x14ac:dyDescent="0.3">
      <c r="A173" s="2"/>
      <c r="B173" s="2"/>
      <c r="C173" s="2"/>
      <c r="D173" s="2"/>
      <c r="E173" s="2"/>
      <c r="F173" s="2"/>
      <c r="G173" s="2"/>
      <c r="H173" s="2"/>
      <c r="I173" s="2"/>
      <c r="J173" s="2"/>
      <c r="K173" s="3"/>
      <c r="L173" s="2"/>
      <c r="M173" s="2"/>
      <c r="N173" s="2"/>
      <c r="O173" s="2"/>
      <c r="P173" s="2"/>
      <c r="Q173" s="16"/>
      <c r="R173" s="16"/>
      <c r="S173" s="17"/>
    </row>
    <row r="174" spans="1:19" ht="20.100000000000001" customHeight="1" x14ac:dyDescent="0.3">
      <c r="A174" s="2"/>
      <c r="B174" s="2"/>
      <c r="C174" s="2"/>
      <c r="D174" s="2"/>
      <c r="E174" s="2"/>
      <c r="F174" s="2"/>
      <c r="G174" s="2"/>
      <c r="H174" s="2"/>
      <c r="I174" s="2"/>
      <c r="J174" s="2"/>
      <c r="K174" s="3"/>
      <c r="L174" s="2"/>
      <c r="M174" s="2"/>
      <c r="N174" s="2"/>
      <c r="O174" s="2"/>
      <c r="P174" s="2"/>
      <c r="Q174" s="16"/>
      <c r="R174" s="16"/>
      <c r="S174" s="17"/>
    </row>
    <row r="175" spans="1:19" ht="20.100000000000001" customHeight="1" x14ac:dyDescent="0.3">
      <c r="A175" s="2"/>
      <c r="B175" s="2"/>
      <c r="C175" s="2"/>
      <c r="D175" s="2"/>
      <c r="E175" s="2"/>
      <c r="F175" s="2"/>
      <c r="G175" s="2"/>
      <c r="H175" s="2"/>
      <c r="I175" s="2"/>
      <c r="J175" s="2"/>
      <c r="K175" s="3"/>
      <c r="L175" s="2"/>
      <c r="M175" s="2"/>
      <c r="N175" s="2"/>
      <c r="O175" s="2"/>
      <c r="P175" s="2"/>
      <c r="Q175" s="16"/>
      <c r="R175" s="16"/>
      <c r="S175" s="17"/>
    </row>
    <row r="176" spans="1:19" ht="20.100000000000001" customHeight="1" x14ac:dyDescent="0.3">
      <c r="A176" s="2"/>
      <c r="B176" s="2"/>
      <c r="C176" s="2"/>
      <c r="D176" s="2"/>
      <c r="E176" s="2"/>
      <c r="F176" s="2"/>
      <c r="G176" s="2"/>
      <c r="H176" s="2"/>
      <c r="I176" s="2"/>
      <c r="J176" s="2"/>
      <c r="K176" s="3"/>
      <c r="L176" s="2"/>
      <c r="M176" s="2"/>
      <c r="N176" s="2"/>
      <c r="O176" s="2"/>
      <c r="P176" s="2"/>
      <c r="Q176" s="16"/>
      <c r="R176" s="16"/>
      <c r="S176" s="17"/>
    </row>
    <row r="177" spans="1:19" ht="20.100000000000001" customHeight="1" x14ac:dyDescent="0.3">
      <c r="A177" s="2"/>
      <c r="B177" s="2"/>
      <c r="C177" s="2"/>
      <c r="D177" s="2"/>
      <c r="E177" s="2"/>
      <c r="F177" s="2"/>
      <c r="G177" s="2"/>
      <c r="H177" s="2"/>
      <c r="I177" s="2"/>
      <c r="J177" s="2"/>
      <c r="K177" s="3"/>
      <c r="L177" s="2"/>
      <c r="M177" s="2"/>
      <c r="N177" s="2"/>
      <c r="O177" s="2"/>
      <c r="P177" s="2"/>
      <c r="Q177" s="16"/>
      <c r="R177" s="16"/>
      <c r="S177" s="17"/>
    </row>
    <row r="178" spans="1:19" ht="20.100000000000001" customHeight="1" x14ac:dyDescent="0.3">
      <c r="A178" s="2"/>
      <c r="B178" s="2"/>
      <c r="C178" s="2"/>
      <c r="D178" s="2"/>
      <c r="E178" s="2"/>
      <c r="F178" s="2"/>
      <c r="G178" s="2"/>
      <c r="H178" s="2"/>
      <c r="I178" s="2"/>
      <c r="J178" s="2"/>
      <c r="K178" s="3"/>
      <c r="L178" s="2"/>
      <c r="M178" s="2"/>
      <c r="N178" s="2"/>
      <c r="O178" s="2"/>
      <c r="P178" s="2"/>
      <c r="Q178" s="16"/>
      <c r="R178" s="16"/>
      <c r="S178" s="17"/>
    </row>
    <row r="179" spans="1:19" ht="20.100000000000001" customHeight="1" x14ac:dyDescent="0.3">
      <c r="A179" s="2"/>
      <c r="B179" s="2"/>
      <c r="C179" s="2"/>
      <c r="D179" s="2"/>
      <c r="E179" s="2"/>
      <c r="F179" s="2"/>
      <c r="G179" s="2"/>
      <c r="H179" s="2"/>
      <c r="I179" s="2"/>
      <c r="J179" s="2"/>
      <c r="K179" s="3"/>
      <c r="L179" s="2"/>
      <c r="M179" s="2"/>
      <c r="N179" s="2"/>
      <c r="O179" s="2"/>
      <c r="P179" s="2"/>
      <c r="Q179" s="16"/>
      <c r="R179" s="16"/>
      <c r="S179" s="17"/>
    </row>
    <row r="180" spans="1:19" ht="20.100000000000001" customHeight="1" x14ac:dyDescent="0.3">
      <c r="A180" s="2"/>
      <c r="B180" s="2"/>
      <c r="C180" s="2"/>
      <c r="D180" s="2"/>
      <c r="E180" s="2"/>
      <c r="F180" s="2"/>
      <c r="G180" s="2"/>
      <c r="H180" s="2"/>
      <c r="I180" s="2"/>
      <c r="J180" s="2"/>
      <c r="K180" s="3"/>
      <c r="L180" s="2"/>
      <c r="M180" s="2"/>
      <c r="N180" s="2"/>
      <c r="O180" s="2"/>
      <c r="P180" s="2"/>
      <c r="Q180" s="16"/>
      <c r="R180" s="16"/>
      <c r="S180" s="17"/>
    </row>
    <row r="181" spans="1:19" ht="20.100000000000001" customHeight="1" x14ac:dyDescent="0.3">
      <c r="A181" s="2"/>
      <c r="B181" s="2"/>
      <c r="C181" s="2"/>
      <c r="D181" s="2"/>
      <c r="E181" s="2"/>
      <c r="F181" s="2"/>
      <c r="G181" s="2"/>
      <c r="H181" s="2"/>
      <c r="I181" s="2"/>
      <c r="J181" s="2"/>
      <c r="K181" s="3"/>
      <c r="L181" s="2"/>
      <c r="M181" s="2"/>
      <c r="N181" s="2"/>
      <c r="O181" s="2"/>
      <c r="P181" s="2"/>
      <c r="Q181" s="16"/>
      <c r="R181" s="16"/>
      <c r="S181" s="17"/>
    </row>
    <row r="182" spans="1:19" ht="20.100000000000001" customHeight="1" x14ac:dyDescent="0.3">
      <c r="A182" s="2"/>
      <c r="B182" s="2"/>
      <c r="C182" s="2"/>
      <c r="D182" s="2"/>
      <c r="E182" s="2"/>
      <c r="F182" s="2"/>
      <c r="G182" s="2"/>
      <c r="H182" s="2"/>
      <c r="I182" s="2"/>
      <c r="J182" s="2"/>
      <c r="K182" s="3"/>
      <c r="L182" s="2"/>
      <c r="M182" s="2"/>
      <c r="N182" s="2"/>
      <c r="O182" s="2"/>
      <c r="P182" s="2"/>
      <c r="Q182" s="16"/>
      <c r="R182" s="16"/>
      <c r="S182" s="17"/>
    </row>
    <row r="183" spans="1:19" ht="20.100000000000001" customHeight="1" x14ac:dyDescent="0.3">
      <c r="A183" s="2"/>
      <c r="B183" s="2"/>
      <c r="C183" s="2"/>
      <c r="D183" s="2"/>
      <c r="E183" s="2"/>
      <c r="F183" s="2"/>
      <c r="G183" s="2"/>
      <c r="H183" s="2"/>
      <c r="I183" s="2"/>
      <c r="J183" s="2"/>
      <c r="K183" s="3"/>
      <c r="L183" s="2"/>
      <c r="M183" s="2"/>
      <c r="N183" s="2"/>
      <c r="O183" s="2"/>
      <c r="P183" s="2"/>
      <c r="Q183" s="16"/>
      <c r="R183" s="16"/>
      <c r="S183" s="17"/>
    </row>
    <row r="184" spans="1:19" ht="20.100000000000001" customHeight="1" x14ac:dyDescent="0.3">
      <c r="A184" s="2"/>
      <c r="B184" s="2"/>
      <c r="C184" s="2"/>
      <c r="D184" s="2"/>
      <c r="E184" s="2"/>
      <c r="F184" s="2"/>
      <c r="G184" s="2"/>
      <c r="H184" s="2"/>
      <c r="I184" s="2"/>
      <c r="J184" s="2"/>
      <c r="K184" s="3"/>
      <c r="L184" s="2"/>
      <c r="M184" s="2"/>
      <c r="N184" s="2"/>
      <c r="O184" s="2"/>
      <c r="P184" s="2"/>
      <c r="Q184" s="16"/>
      <c r="R184" s="16"/>
      <c r="S184" s="17"/>
    </row>
    <row r="185" spans="1:19" ht="20.100000000000001" customHeight="1" x14ac:dyDescent="0.3">
      <c r="A185" s="2"/>
      <c r="B185" s="2"/>
      <c r="C185" s="2"/>
      <c r="D185" s="2"/>
      <c r="E185" s="2"/>
      <c r="F185" s="2"/>
      <c r="G185" s="2"/>
      <c r="H185" s="2"/>
      <c r="I185" s="2"/>
      <c r="J185" s="2"/>
      <c r="K185" s="3"/>
      <c r="L185" s="2"/>
      <c r="M185" s="2"/>
      <c r="N185" s="2"/>
      <c r="O185" s="2"/>
      <c r="P185" s="2"/>
      <c r="Q185" s="16"/>
      <c r="R185" s="16"/>
      <c r="S185" s="17"/>
    </row>
    <row r="186" spans="1:19" ht="20.100000000000001" customHeight="1" x14ac:dyDescent="0.3">
      <c r="A186" s="2"/>
      <c r="B186" s="2"/>
      <c r="C186" s="2"/>
      <c r="D186" s="2"/>
      <c r="E186" s="2"/>
      <c r="F186" s="2"/>
      <c r="G186" s="2"/>
      <c r="H186" s="2"/>
      <c r="I186" s="2"/>
      <c r="J186" s="2"/>
      <c r="K186" s="3"/>
      <c r="L186" s="2"/>
      <c r="M186" s="2"/>
      <c r="N186" s="2"/>
      <c r="O186" s="2"/>
      <c r="P186" s="2"/>
      <c r="Q186" s="16"/>
      <c r="R186" s="16"/>
      <c r="S186" s="17"/>
    </row>
    <row r="187" spans="1:19" ht="20.100000000000001" customHeight="1" x14ac:dyDescent="0.3">
      <c r="A187" s="2"/>
      <c r="B187" s="2"/>
      <c r="C187" s="2"/>
      <c r="D187" s="2"/>
      <c r="E187" s="2"/>
      <c r="F187" s="2"/>
      <c r="G187" s="2"/>
      <c r="H187" s="2"/>
      <c r="I187" s="2"/>
      <c r="J187" s="2"/>
      <c r="K187" s="3"/>
      <c r="L187" s="2"/>
      <c r="M187" s="2"/>
      <c r="N187" s="2"/>
      <c r="O187" s="2"/>
      <c r="P187" s="2"/>
      <c r="Q187" s="16"/>
      <c r="R187" s="16"/>
      <c r="S187" s="17"/>
    </row>
    <row r="188" spans="1:19" ht="20.100000000000001" customHeight="1" x14ac:dyDescent="0.3">
      <c r="A188" s="2"/>
      <c r="B188" s="2"/>
      <c r="C188" s="2"/>
      <c r="D188" s="2"/>
      <c r="E188" s="2"/>
      <c r="F188" s="2"/>
      <c r="G188" s="2"/>
      <c r="H188" s="2"/>
      <c r="I188" s="2"/>
      <c r="J188" s="2"/>
      <c r="K188" s="3"/>
      <c r="L188" s="2"/>
      <c r="M188" s="2"/>
      <c r="N188" s="2"/>
      <c r="O188" s="2"/>
      <c r="P188" s="2"/>
      <c r="Q188" s="16"/>
      <c r="R188" s="16"/>
      <c r="S188" s="17"/>
    </row>
    <row r="189" spans="1:19" ht="20.100000000000001" customHeight="1" x14ac:dyDescent="0.3">
      <c r="A189" s="2"/>
      <c r="B189" s="2"/>
      <c r="C189" s="2"/>
      <c r="D189" s="2"/>
      <c r="E189" s="2"/>
      <c r="F189" s="2"/>
      <c r="G189" s="2"/>
      <c r="H189" s="2"/>
      <c r="I189" s="2"/>
      <c r="J189" s="2"/>
      <c r="K189" s="3"/>
      <c r="L189" s="2"/>
      <c r="M189" s="2"/>
      <c r="N189" s="2"/>
      <c r="O189" s="2"/>
      <c r="P189" s="2"/>
      <c r="Q189" s="16"/>
      <c r="R189" s="16"/>
      <c r="S189" s="17"/>
    </row>
    <row r="190" spans="1:19" ht="20.100000000000001" customHeight="1" x14ac:dyDescent="0.3">
      <c r="A190" s="2"/>
      <c r="B190" s="2"/>
      <c r="C190" s="2"/>
      <c r="D190" s="2"/>
      <c r="E190" s="2"/>
      <c r="F190" s="2"/>
      <c r="G190" s="2"/>
      <c r="H190" s="2"/>
      <c r="I190" s="2"/>
      <c r="J190" s="2"/>
      <c r="K190" s="3"/>
      <c r="L190" s="2"/>
      <c r="M190" s="2"/>
      <c r="N190" s="2"/>
      <c r="O190" s="2"/>
      <c r="P190" s="2"/>
      <c r="Q190" s="16"/>
      <c r="R190" s="16"/>
      <c r="S190" s="17"/>
    </row>
    <row r="191" spans="1:19" ht="20.100000000000001" customHeight="1" x14ac:dyDescent="0.3">
      <c r="A191" s="2"/>
      <c r="B191" s="2"/>
      <c r="C191" s="2"/>
      <c r="D191" s="2"/>
      <c r="E191" s="2"/>
      <c r="F191" s="2"/>
      <c r="G191" s="2"/>
      <c r="H191" s="2"/>
      <c r="I191" s="2"/>
      <c r="J191" s="2"/>
      <c r="K191" s="3"/>
      <c r="L191" s="2"/>
      <c r="M191" s="2"/>
      <c r="N191" s="2"/>
      <c r="O191" s="2"/>
      <c r="P191" s="2"/>
      <c r="Q191" s="16"/>
      <c r="R191" s="16"/>
      <c r="S191" s="17"/>
    </row>
    <row r="192" spans="1:19" ht="20.100000000000001" customHeight="1" x14ac:dyDescent="0.3">
      <c r="A192" s="2"/>
      <c r="B192" s="2"/>
      <c r="C192" s="2"/>
      <c r="D192" s="2"/>
      <c r="E192" s="2"/>
      <c r="F192" s="2"/>
      <c r="G192" s="2"/>
      <c r="H192" s="2"/>
      <c r="I192" s="2"/>
      <c r="J192" s="2"/>
      <c r="K192" s="3"/>
      <c r="L192" s="2"/>
      <c r="M192" s="2"/>
      <c r="N192" s="2"/>
      <c r="O192" s="2"/>
      <c r="P192" s="2"/>
      <c r="Q192" s="16"/>
      <c r="R192" s="16"/>
      <c r="S192" s="17"/>
    </row>
    <row r="193" spans="1:19" ht="20.100000000000001" customHeight="1" x14ac:dyDescent="0.3">
      <c r="A193" s="2"/>
      <c r="B193" s="2"/>
      <c r="C193" s="2"/>
      <c r="D193" s="2"/>
      <c r="E193" s="2"/>
      <c r="F193" s="2"/>
      <c r="G193" s="2"/>
      <c r="H193" s="2"/>
      <c r="I193" s="2"/>
      <c r="J193" s="2"/>
      <c r="K193" s="3"/>
      <c r="L193" s="2"/>
      <c r="M193" s="2"/>
      <c r="N193" s="2"/>
      <c r="O193" s="2"/>
      <c r="P193" s="2"/>
      <c r="Q193" s="16"/>
      <c r="R193" s="16"/>
      <c r="S193" s="17"/>
    </row>
    <row r="194" spans="1:19" ht="20.100000000000001" customHeight="1" x14ac:dyDescent="0.3">
      <c r="A194" s="2"/>
      <c r="B194" s="2"/>
      <c r="C194" s="2"/>
      <c r="D194" s="2"/>
      <c r="E194" s="2"/>
      <c r="F194" s="2"/>
      <c r="G194" s="2"/>
      <c r="H194" s="2"/>
      <c r="I194" s="2"/>
      <c r="J194" s="2"/>
      <c r="K194" s="3"/>
      <c r="L194" s="2"/>
      <c r="M194" s="2"/>
      <c r="N194" s="2"/>
      <c r="O194" s="2"/>
      <c r="P194" s="2"/>
      <c r="Q194" s="16"/>
      <c r="R194" s="16"/>
      <c r="S194" s="17"/>
    </row>
    <row r="195" spans="1:19" ht="20.100000000000001" customHeight="1" x14ac:dyDescent="0.3">
      <c r="A195" s="2"/>
      <c r="B195" s="2"/>
      <c r="C195" s="2"/>
      <c r="D195" s="2"/>
      <c r="E195" s="2"/>
      <c r="F195" s="2"/>
      <c r="G195" s="2"/>
      <c r="H195" s="2"/>
      <c r="I195" s="2"/>
      <c r="J195" s="2"/>
      <c r="K195" s="3"/>
      <c r="L195" s="2"/>
      <c r="M195" s="2"/>
      <c r="N195" s="2"/>
      <c r="O195" s="2"/>
      <c r="P195" s="2"/>
      <c r="Q195" s="16"/>
      <c r="R195" s="16"/>
      <c r="S195" s="17"/>
    </row>
    <row r="196" spans="1:19" ht="20.100000000000001" customHeight="1" x14ac:dyDescent="0.3">
      <c r="A196" s="2"/>
      <c r="B196" s="2"/>
      <c r="C196" s="2"/>
      <c r="D196" s="2"/>
      <c r="E196" s="2"/>
      <c r="F196" s="2"/>
      <c r="G196" s="2"/>
      <c r="H196" s="2"/>
      <c r="I196" s="2"/>
      <c r="J196" s="2"/>
      <c r="K196" s="3"/>
      <c r="L196" s="2"/>
      <c r="M196" s="2"/>
      <c r="N196" s="2"/>
      <c r="O196" s="2"/>
      <c r="P196" s="2"/>
      <c r="Q196" s="16"/>
      <c r="R196" s="16"/>
      <c r="S196" s="17"/>
    </row>
    <row r="197" spans="1:19" ht="20.100000000000001" customHeight="1" x14ac:dyDescent="0.3">
      <c r="A197" s="2"/>
      <c r="B197" s="2"/>
      <c r="C197" s="2"/>
      <c r="D197" s="2"/>
      <c r="E197" s="2"/>
      <c r="F197" s="2"/>
      <c r="G197" s="2"/>
      <c r="H197" s="2"/>
      <c r="I197" s="2"/>
      <c r="J197" s="2"/>
      <c r="K197" s="3"/>
      <c r="L197" s="2"/>
      <c r="M197" s="2"/>
      <c r="N197" s="2"/>
      <c r="O197" s="2"/>
      <c r="P197" s="2"/>
      <c r="Q197" s="16"/>
      <c r="R197" s="16"/>
      <c r="S197" s="17"/>
    </row>
    <row r="198" spans="1:19" ht="20.100000000000001" customHeight="1" x14ac:dyDescent="0.3">
      <c r="A198" s="2"/>
      <c r="B198" s="2"/>
      <c r="C198" s="2"/>
      <c r="D198" s="2"/>
      <c r="E198" s="2"/>
      <c r="F198" s="2"/>
      <c r="G198" s="2"/>
      <c r="H198" s="2"/>
      <c r="I198" s="2"/>
      <c r="J198" s="2"/>
      <c r="K198" s="3"/>
      <c r="L198" s="2"/>
      <c r="M198" s="2"/>
      <c r="N198" s="2"/>
      <c r="O198" s="2"/>
      <c r="P198" s="2"/>
      <c r="Q198" s="16"/>
      <c r="R198" s="16"/>
      <c r="S198" s="17"/>
    </row>
    <row r="199" spans="1:19" ht="20.100000000000001" customHeight="1" x14ac:dyDescent="0.3">
      <c r="A199" s="2"/>
      <c r="B199" s="2"/>
      <c r="C199" s="2"/>
      <c r="D199" s="2"/>
      <c r="E199" s="2"/>
      <c r="F199" s="2"/>
      <c r="G199" s="2"/>
      <c r="H199" s="2"/>
      <c r="I199" s="2"/>
      <c r="J199" s="2"/>
      <c r="K199" s="3"/>
      <c r="L199" s="2"/>
      <c r="M199" s="2"/>
      <c r="N199" s="2"/>
      <c r="O199" s="2"/>
      <c r="P199" s="2"/>
      <c r="Q199" s="16"/>
      <c r="R199" s="16"/>
      <c r="S199" s="17"/>
    </row>
    <row r="200" spans="1:19" ht="20.100000000000001" customHeight="1" x14ac:dyDescent="0.3">
      <c r="A200" s="2"/>
      <c r="B200" s="2"/>
      <c r="C200" s="2"/>
      <c r="D200" s="2"/>
      <c r="E200" s="2"/>
      <c r="F200" s="2"/>
      <c r="G200" s="2"/>
      <c r="H200" s="2"/>
      <c r="I200" s="2"/>
      <c r="J200" s="2"/>
      <c r="K200" s="3"/>
      <c r="L200" s="2"/>
      <c r="M200" s="2"/>
      <c r="N200" s="2"/>
      <c r="O200" s="2"/>
      <c r="P200" s="2"/>
      <c r="Q200" s="16"/>
      <c r="R200" s="16"/>
      <c r="S200" s="17"/>
    </row>
    <row r="201" spans="1:19" ht="20.100000000000001" customHeight="1" x14ac:dyDescent="0.3">
      <c r="A201" s="2"/>
      <c r="B201" s="2"/>
      <c r="C201" s="2"/>
      <c r="D201" s="2"/>
      <c r="E201" s="2"/>
      <c r="F201" s="2"/>
      <c r="G201" s="2"/>
      <c r="H201" s="2"/>
      <c r="I201" s="2"/>
      <c r="J201" s="2"/>
      <c r="K201" s="3"/>
      <c r="L201" s="2"/>
      <c r="M201" s="2"/>
      <c r="N201" s="2"/>
      <c r="O201" s="2"/>
      <c r="P201" s="2"/>
      <c r="Q201" s="16"/>
      <c r="R201" s="16"/>
      <c r="S201" s="17"/>
    </row>
    <row r="202" spans="1:19" ht="20.100000000000001" customHeight="1" x14ac:dyDescent="0.3">
      <c r="A202" s="2"/>
      <c r="B202" s="2"/>
      <c r="C202" s="2"/>
      <c r="D202" s="2"/>
      <c r="E202" s="2"/>
      <c r="F202" s="2"/>
      <c r="G202" s="2"/>
      <c r="H202" s="2"/>
      <c r="I202" s="2"/>
      <c r="J202" s="2"/>
      <c r="K202" s="3"/>
      <c r="L202" s="2"/>
      <c r="M202" s="2"/>
      <c r="N202" s="2"/>
      <c r="O202" s="2"/>
      <c r="P202" s="2"/>
      <c r="Q202" s="16"/>
      <c r="R202" s="16"/>
      <c r="S202" s="17"/>
    </row>
    <row r="203" spans="1:19" ht="20.100000000000001" customHeight="1" x14ac:dyDescent="0.3">
      <c r="A203" s="2"/>
      <c r="B203" s="2"/>
      <c r="C203" s="2"/>
      <c r="D203" s="2"/>
      <c r="E203" s="2"/>
      <c r="F203" s="2"/>
      <c r="G203" s="2"/>
      <c r="H203" s="2"/>
      <c r="I203" s="2"/>
      <c r="J203" s="2"/>
      <c r="K203" s="3"/>
      <c r="L203" s="2"/>
      <c r="M203" s="2"/>
      <c r="N203" s="2"/>
      <c r="O203" s="2"/>
      <c r="P203" s="2"/>
      <c r="Q203" s="16"/>
      <c r="R203" s="16"/>
      <c r="S203" s="17"/>
    </row>
    <row r="204" spans="1:19" ht="20.100000000000001" customHeight="1" x14ac:dyDescent="0.3">
      <c r="A204" s="2"/>
      <c r="B204" s="2"/>
      <c r="C204" s="2"/>
      <c r="D204" s="2"/>
      <c r="E204" s="2"/>
      <c r="F204" s="2"/>
      <c r="G204" s="2"/>
      <c r="H204" s="2"/>
      <c r="I204" s="2"/>
      <c r="J204" s="2"/>
      <c r="K204" s="3"/>
      <c r="L204" s="2"/>
      <c r="M204" s="2"/>
      <c r="N204" s="2"/>
      <c r="O204" s="2"/>
      <c r="P204" s="2"/>
      <c r="Q204" s="16"/>
      <c r="R204" s="16"/>
      <c r="S204" s="17"/>
    </row>
    <row r="205" spans="1:19" ht="20.100000000000001" customHeight="1" x14ac:dyDescent="0.3">
      <c r="A205" s="2"/>
      <c r="B205" s="2"/>
      <c r="C205" s="2"/>
      <c r="D205" s="2"/>
      <c r="E205" s="2"/>
      <c r="F205" s="2"/>
      <c r="G205" s="2"/>
      <c r="H205" s="2"/>
      <c r="I205" s="2"/>
      <c r="J205" s="2"/>
      <c r="K205" s="3"/>
      <c r="L205" s="2"/>
      <c r="M205" s="2"/>
      <c r="N205" s="2"/>
      <c r="O205" s="2"/>
      <c r="P205" s="2"/>
      <c r="Q205" s="16"/>
      <c r="R205" s="16"/>
      <c r="S205" s="17"/>
    </row>
    <row r="206" spans="1:19" ht="20.100000000000001" customHeight="1" x14ac:dyDescent="0.3">
      <c r="A206" s="2"/>
      <c r="B206" s="2"/>
      <c r="C206" s="2"/>
      <c r="D206" s="2"/>
      <c r="E206" s="2"/>
      <c r="F206" s="2"/>
      <c r="G206" s="2"/>
      <c r="H206" s="2"/>
      <c r="I206" s="2"/>
      <c r="J206" s="2"/>
      <c r="K206" s="3"/>
      <c r="L206" s="2"/>
      <c r="M206" s="2"/>
      <c r="N206" s="2"/>
      <c r="O206" s="2"/>
      <c r="P206" s="2"/>
      <c r="Q206" s="16"/>
      <c r="R206" s="16"/>
      <c r="S206" s="17"/>
    </row>
    <row r="207" spans="1:19" ht="20.100000000000001" customHeight="1" x14ac:dyDescent="0.3">
      <c r="A207" s="2"/>
      <c r="B207" s="2"/>
      <c r="C207" s="2"/>
      <c r="D207" s="2"/>
      <c r="E207" s="2"/>
      <c r="F207" s="2"/>
      <c r="G207" s="2"/>
      <c r="H207" s="2"/>
      <c r="I207" s="2"/>
      <c r="J207" s="2"/>
      <c r="K207" s="3"/>
      <c r="L207" s="2"/>
      <c r="M207" s="2"/>
      <c r="N207" s="2"/>
      <c r="O207" s="2"/>
      <c r="P207" s="2"/>
      <c r="Q207" s="16"/>
      <c r="R207" s="16"/>
      <c r="S207" s="17"/>
    </row>
    <row r="208" spans="1:19" ht="20.100000000000001" customHeight="1" x14ac:dyDescent="0.3">
      <c r="A208" s="2"/>
      <c r="B208" s="2"/>
      <c r="C208" s="2"/>
      <c r="D208" s="2"/>
      <c r="E208" s="2"/>
      <c r="F208" s="2"/>
      <c r="G208" s="2"/>
      <c r="H208" s="2"/>
      <c r="I208" s="2"/>
      <c r="J208" s="2"/>
      <c r="K208" s="3"/>
      <c r="L208" s="2"/>
      <c r="M208" s="2"/>
      <c r="N208" s="2"/>
      <c r="O208" s="2"/>
      <c r="P208" s="2"/>
      <c r="Q208" s="16"/>
      <c r="R208" s="16"/>
      <c r="S208" s="17"/>
    </row>
    <row r="209" spans="1:19" ht="20.100000000000001" customHeight="1" x14ac:dyDescent="0.3">
      <c r="A209" s="2"/>
      <c r="B209" s="2"/>
      <c r="C209" s="2"/>
      <c r="D209" s="2"/>
      <c r="E209" s="2"/>
      <c r="F209" s="2"/>
      <c r="G209" s="2"/>
      <c r="H209" s="2"/>
      <c r="I209" s="2"/>
      <c r="J209" s="2"/>
      <c r="K209" s="3"/>
      <c r="L209" s="2"/>
      <c r="M209" s="2"/>
      <c r="N209" s="2"/>
      <c r="O209" s="2"/>
      <c r="P209" s="2"/>
      <c r="Q209" s="16"/>
      <c r="R209" s="16"/>
      <c r="S209" s="17"/>
    </row>
    <row r="210" spans="1:19" ht="20.100000000000001" customHeight="1" x14ac:dyDescent="0.3">
      <c r="A210" s="2"/>
      <c r="B210" s="2"/>
      <c r="C210" s="2"/>
      <c r="D210" s="2"/>
      <c r="E210" s="2"/>
      <c r="F210" s="2"/>
      <c r="G210" s="2"/>
      <c r="H210" s="2"/>
      <c r="I210" s="2"/>
      <c r="J210" s="2"/>
      <c r="K210" s="3"/>
      <c r="L210" s="2"/>
      <c r="M210" s="2"/>
      <c r="N210" s="2"/>
      <c r="O210" s="2"/>
      <c r="P210" s="2"/>
      <c r="Q210" s="16"/>
      <c r="R210" s="16"/>
      <c r="S210" s="17"/>
    </row>
    <row r="211" spans="1:19" ht="20.100000000000001" customHeight="1" x14ac:dyDescent="0.3">
      <c r="A211" s="2"/>
      <c r="B211" s="2"/>
      <c r="C211" s="2"/>
      <c r="D211" s="2"/>
      <c r="E211" s="2"/>
      <c r="F211" s="2"/>
      <c r="G211" s="2"/>
      <c r="H211" s="2"/>
      <c r="I211" s="2"/>
      <c r="J211" s="2"/>
      <c r="K211" s="3"/>
      <c r="L211" s="2"/>
      <c r="M211" s="2"/>
      <c r="N211" s="2"/>
      <c r="O211" s="2"/>
      <c r="P211" s="2"/>
      <c r="Q211" s="16"/>
      <c r="R211" s="16"/>
      <c r="S211" s="17"/>
    </row>
    <row r="212" spans="1:19" ht="20.100000000000001" customHeight="1" x14ac:dyDescent="0.3">
      <c r="A212" s="2"/>
      <c r="B212" s="2"/>
      <c r="C212" s="2"/>
      <c r="D212" s="2"/>
      <c r="E212" s="2"/>
      <c r="F212" s="2"/>
      <c r="G212" s="2"/>
      <c r="H212" s="2"/>
      <c r="I212" s="2"/>
      <c r="J212" s="2"/>
      <c r="K212" s="3"/>
      <c r="L212" s="2"/>
      <c r="M212" s="2"/>
      <c r="N212" s="2"/>
      <c r="O212" s="2"/>
      <c r="P212" s="2"/>
      <c r="Q212" s="16"/>
      <c r="R212" s="16"/>
      <c r="S212" s="17"/>
    </row>
    <row r="213" spans="1:19" ht="20.100000000000001" customHeight="1" x14ac:dyDescent="0.3">
      <c r="A213" s="2"/>
      <c r="B213" s="2"/>
      <c r="C213" s="2"/>
      <c r="D213" s="2"/>
      <c r="E213" s="2"/>
      <c r="F213" s="2"/>
      <c r="G213" s="2"/>
      <c r="H213" s="2"/>
      <c r="I213" s="2"/>
      <c r="J213" s="2"/>
      <c r="K213" s="3"/>
      <c r="L213" s="2"/>
      <c r="M213" s="2"/>
      <c r="N213" s="2"/>
      <c r="O213" s="2"/>
      <c r="P213" s="2"/>
      <c r="Q213" s="16"/>
      <c r="R213" s="16"/>
      <c r="S213" s="17"/>
    </row>
    <row r="214" spans="1:19" ht="20.100000000000001" customHeight="1" x14ac:dyDescent="0.3">
      <c r="A214" s="2"/>
      <c r="B214" s="2"/>
      <c r="C214" s="2"/>
      <c r="D214" s="2"/>
      <c r="E214" s="2"/>
      <c r="F214" s="2"/>
      <c r="G214" s="2"/>
      <c r="H214" s="2"/>
      <c r="I214" s="2"/>
      <c r="J214" s="2"/>
      <c r="K214" s="3"/>
      <c r="L214" s="2"/>
      <c r="M214" s="2"/>
      <c r="N214" s="2"/>
      <c r="O214" s="2"/>
      <c r="P214" s="2"/>
      <c r="Q214" s="16"/>
      <c r="R214" s="16"/>
      <c r="S214" s="17"/>
    </row>
    <row r="215" spans="1:19" ht="20.100000000000001" customHeight="1" x14ac:dyDescent="0.3">
      <c r="A215" s="2"/>
      <c r="B215" s="2"/>
      <c r="C215" s="2"/>
      <c r="D215" s="2"/>
      <c r="E215" s="2"/>
      <c r="F215" s="2"/>
      <c r="G215" s="2"/>
      <c r="H215" s="2"/>
      <c r="I215" s="2"/>
      <c r="J215" s="2"/>
      <c r="K215" s="3"/>
      <c r="L215" s="2"/>
      <c r="M215" s="2"/>
      <c r="N215" s="2"/>
      <c r="O215" s="2"/>
      <c r="P215" s="2"/>
      <c r="Q215" s="16"/>
      <c r="R215" s="16"/>
      <c r="S215" s="17"/>
    </row>
    <row r="216" spans="1:19" ht="20.100000000000001" customHeight="1" x14ac:dyDescent="0.3">
      <c r="A216" s="2"/>
      <c r="B216" s="2"/>
      <c r="C216" s="2"/>
      <c r="D216" s="2"/>
      <c r="E216" s="2"/>
      <c r="F216" s="2"/>
      <c r="G216" s="2"/>
      <c r="H216" s="2"/>
      <c r="I216" s="2"/>
      <c r="J216" s="2"/>
      <c r="K216" s="3"/>
      <c r="L216" s="2"/>
      <c r="M216" s="2"/>
      <c r="N216" s="2"/>
      <c r="O216" s="2"/>
      <c r="P216" s="2"/>
      <c r="Q216" s="16"/>
      <c r="R216" s="16"/>
      <c r="S216" s="17"/>
    </row>
    <row r="217" spans="1:19" ht="20.100000000000001" customHeight="1" x14ac:dyDescent="0.3">
      <c r="A217" s="2"/>
      <c r="B217" s="2"/>
      <c r="C217" s="2"/>
      <c r="D217" s="2"/>
      <c r="E217" s="2"/>
      <c r="F217" s="2"/>
      <c r="G217" s="2"/>
      <c r="H217" s="2"/>
      <c r="I217" s="2"/>
      <c r="J217" s="2"/>
      <c r="K217" s="3"/>
      <c r="L217" s="2"/>
      <c r="M217" s="2"/>
      <c r="N217" s="2"/>
      <c r="O217" s="2"/>
      <c r="P217" s="2"/>
      <c r="Q217" s="16"/>
      <c r="R217" s="16"/>
      <c r="S217" s="17"/>
    </row>
    <row r="218" spans="1:19" ht="20.100000000000001" customHeight="1" x14ac:dyDescent="0.3">
      <c r="A218" s="2"/>
      <c r="B218" s="2"/>
      <c r="C218" s="2"/>
      <c r="D218" s="2"/>
      <c r="E218" s="2"/>
      <c r="F218" s="2"/>
      <c r="G218" s="2"/>
      <c r="H218" s="2"/>
      <c r="I218" s="2"/>
      <c r="J218" s="2"/>
      <c r="K218" s="3"/>
      <c r="L218" s="2"/>
      <c r="M218" s="2"/>
      <c r="N218" s="2"/>
      <c r="O218" s="2"/>
      <c r="P218" s="2"/>
      <c r="Q218" s="16"/>
      <c r="R218" s="16"/>
      <c r="S218" s="17"/>
    </row>
    <row r="219" spans="1:19" ht="20.100000000000001" customHeight="1" x14ac:dyDescent="0.3">
      <c r="A219" s="2"/>
      <c r="B219" s="2"/>
      <c r="C219" s="2"/>
      <c r="D219" s="2"/>
      <c r="E219" s="2"/>
      <c r="F219" s="2"/>
      <c r="G219" s="2"/>
      <c r="H219" s="2"/>
      <c r="I219" s="2"/>
      <c r="J219" s="2"/>
      <c r="K219" s="3"/>
      <c r="L219" s="2"/>
      <c r="M219" s="2"/>
      <c r="N219" s="2"/>
      <c r="O219" s="2"/>
      <c r="P219" s="2"/>
      <c r="Q219" s="16"/>
      <c r="R219" s="16"/>
      <c r="S219" s="17"/>
    </row>
    <row r="220" spans="1:19" ht="20.100000000000001" customHeight="1" x14ac:dyDescent="0.3">
      <c r="A220" s="2"/>
      <c r="B220" s="2"/>
      <c r="C220" s="2"/>
      <c r="D220" s="2"/>
      <c r="E220" s="2"/>
      <c r="F220" s="2"/>
      <c r="G220" s="2"/>
      <c r="H220" s="2"/>
      <c r="I220" s="2"/>
      <c r="J220" s="2"/>
      <c r="K220" s="3"/>
      <c r="L220" s="2"/>
      <c r="M220" s="2"/>
      <c r="N220" s="2"/>
      <c r="O220" s="2"/>
      <c r="P220" s="2"/>
      <c r="Q220" s="16"/>
      <c r="R220" s="16"/>
      <c r="S220" s="17"/>
    </row>
    <row r="221" spans="1:19" ht="20.100000000000001" customHeight="1" x14ac:dyDescent="0.3">
      <c r="A221" s="2"/>
      <c r="B221" s="2"/>
      <c r="C221" s="2"/>
      <c r="D221" s="2"/>
      <c r="E221" s="2"/>
      <c r="F221" s="2"/>
      <c r="G221" s="2"/>
      <c r="H221" s="2"/>
      <c r="I221" s="2"/>
      <c r="J221" s="2"/>
      <c r="K221" s="3"/>
      <c r="L221" s="2"/>
      <c r="M221" s="2"/>
      <c r="N221" s="2"/>
      <c r="O221" s="2"/>
      <c r="P221" s="2"/>
      <c r="Q221" s="16"/>
      <c r="R221" s="16"/>
      <c r="S221" s="17"/>
    </row>
    <row r="222" spans="1:19" ht="20.100000000000001" customHeight="1" x14ac:dyDescent="0.3">
      <c r="A222" s="2"/>
      <c r="B222" s="2"/>
      <c r="C222" s="2"/>
      <c r="D222" s="2"/>
      <c r="E222" s="2"/>
      <c r="F222" s="2"/>
      <c r="G222" s="2"/>
      <c r="H222" s="2"/>
      <c r="I222" s="2"/>
      <c r="J222" s="2"/>
      <c r="K222" s="3"/>
      <c r="L222" s="2"/>
      <c r="M222" s="2"/>
      <c r="N222" s="2"/>
      <c r="O222" s="2"/>
      <c r="P222" s="2"/>
      <c r="Q222" s="16"/>
      <c r="R222" s="16"/>
      <c r="S222" s="17"/>
    </row>
    <row r="223" spans="1:19" ht="20.100000000000001" customHeight="1" x14ac:dyDescent="0.3">
      <c r="A223" s="2"/>
      <c r="B223" s="2"/>
      <c r="C223" s="2"/>
      <c r="D223" s="2"/>
      <c r="E223" s="2"/>
      <c r="F223" s="2"/>
      <c r="G223" s="2"/>
      <c r="H223" s="2"/>
      <c r="I223" s="2"/>
      <c r="J223" s="2"/>
      <c r="K223" s="3"/>
      <c r="L223" s="2"/>
      <c r="M223" s="2"/>
      <c r="N223" s="2"/>
      <c r="O223" s="2"/>
      <c r="P223" s="2"/>
      <c r="Q223" s="16"/>
      <c r="R223" s="16"/>
      <c r="S223" s="17"/>
    </row>
    <row r="224" spans="1:19" ht="20.100000000000001" customHeight="1" x14ac:dyDescent="0.3">
      <c r="A224" s="2"/>
      <c r="B224" s="2"/>
      <c r="C224" s="2"/>
      <c r="D224" s="2"/>
      <c r="E224" s="2"/>
      <c r="F224" s="2"/>
      <c r="G224" s="2"/>
      <c r="H224" s="2"/>
      <c r="I224" s="2"/>
      <c r="J224" s="2"/>
      <c r="K224" s="3"/>
      <c r="L224" s="2"/>
      <c r="M224" s="2"/>
      <c r="N224" s="2"/>
      <c r="O224" s="2"/>
      <c r="P224" s="2"/>
      <c r="Q224" s="16"/>
      <c r="R224" s="16"/>
      <c r="S224" s="17"/>
    </row>
    <row r="225" spans="1:19" ht="20.100000000000001" customHeight="1" x14ac:dyDescent="0.3">
      <c r="A225" s="2"/>
      <c r="B225" s="2"/>
      <c r="C225" s="2"/>
      <c r="D225" s="2"/>
      <c r="E225" s="2"/>
      <c r="F225" s="2"/>
      <c r="G225" s="2"/>
      <c r="H225" s="2"/>
      <c r="I225" s="2"/>
      <c r="J225" s="2"/>
      <c r="K225" s="3"/>
      <c r="L225" s="2"/>
      <c r="M225" s="2"/>
      <c r="N225" s="2"/>
      <c r="O225" s="2"/>
      <c r="P225" s="2"/>
      <c r="Q225" s="16"/>
      <c r="R225" s="16"/>
      <c r="S225" s="17"/>
    </row>
    <row r="226" spans="1:19" ht="20.100000000000001" customHeight="1" x14ac:dyDescent="0.3">
      <c r="A226" s="2"/>
      <c r="B226" s="2"/>
      <c r="C226" s="2"/>
      <c r="D226" s="2"/>
      <c r="E226" s="2"/>
      <c r="F226" s="2"/>
      <c r="G226" s="2"/>
      <c r="H226" s="2"/>
      <c r="I226" s="2"/>
      <c r="J226" s="2"/>
      <c r="K226" s="3"/>
      <c r="L226" s="2"/>
      <c r="M226" s="2"/>
      <c r="N226" s="2"/>
      <c r="O226" s="2"/>
      <c r="P226" s="2"/>
      <c r="Q226" s="16"/>
      <c r="R226" s="16"/>
      <c r="S226" s="17"/>
    </row>
    <row r="227" spans="1:19" ht="20.100000000000001" customHeight="1" x14ac:dyDescent="0.3">
      <c r="A227" s="2"/>
      <c r="B227" s="2"/>
      <c r="C227" s="2"/>
      <c r="D227" s="2"/>
      <c r="E227" s="2"/>
      <c r="F227" s="2"/>
      <c r="G227" s="2"/>
      <c r="H227" s="2"/>
      <c r="I227" s="2"/>
      <c r="J227" s="2"/>
      <c r="K227" s="3"/>
      <c r="L227" s="2"/>
      <c r="M227" s="2"/>
      <c r="N227" s="2"/>
      <c r="O227" s="2"/>
      <c r="P227" s="2"/>
      <c r="Q227" s="16"/>
      <c r="R227" s="16"/>
      <c r="S227" s="17"/>
    </row>
    <row r="228" spans="1:19" ht="20.100000000000001" customHeight="1" x14ac:dyDescent="0.3">
      <c r="A228" s="2"/>
      <c r="B228" s="2"/>
      <c r="C228" s="2"/>
      <c r="D228" s="2"/>
      <c r="E228" s="2"/>
      <c r="F228" s="2"/>
      <c r="G228" s="2"/>
      <c r="H228" s="2"/>
      <c r="I228" s="2"/>
      <c r="J228" s="2"/>
      <c r="K228" s="3"/>
      <c r="L228" s="2"/>
      <c r="M228" s="2"/>
      <c r="N228" s="2"/>
      <c r="O228" s="2"/>
      <c r="P228" s="2"/>
      <c r="Q228" s="16"/>
      <c r="R228" s="16"/>
      <c r="S228" s="17"/>
    </row>
    <row r="229" spans="1:19" ht="20.100000000000001" customHeight="1" x14ac:dyDescent="0.3">
      <c r="A229" s="2"/>
      <c r="B229" s="2"/>
      <c r="C229" s="2"/>
      <c r="D229" s="2"/>
      <c r="E229" s="2"/>
      <c r="F229" s="2"/>
      <c r="G229" s="2"/>
      <c r="H229" s="2"/>
      <c r="I229" s="2"/>
      <c r="J229" s="2"/>
      <c r="K229" s="3"/>
      <c r="L229" s="2"/>
      <c r="M229" s="2"/>
      <c r="N229" s="2"/>
      <c r="O229" s="2"/>
      <c r="P229" s="2"/>
      <c r="Q229" s="16"/>
      <c r="R229" s="16"/>
      <c r="S229" s="17"/>
    </row>
    <row r="230" spans="1:19" ht="20.100000000000001" customHeight="1" x14ac:dyDescent="0.3">
      <c r="A230" s="2"/>
      <c r="B230" s="2"/>
      <c r="C230" s="2"/>
      <c r="D230" s="2"/>
      <c r="E230" s="2"/>
      <c r="F230" s="2"/>
      <c r="G230" s="2"/>
      <c r="H230" s="2"/>
      <c r="I230" s="2"/>
      <c r="J230" s="2"/>
      <c r="K230" s="3"/>
      <c r="L230" s="2"/>
      <c r="M230" s="2"/>
      <c r="N230" s="2"/>
      <c r="O230" s="2"/>
      <c r="P230" s="2"/>
      <c r="Q230" s="16"/>
      <c r="R230" s="16"/>
      <c r="S230" s="17"/>
    </row>
    <row r="231" spans="1:19" ht="20.100000000000001" customHeight="1" x14ac:dyDescent="0.3">
      <c r="A231" s="2"/>
      <c r="B231" s="2"/>
      <c r="C231" s="2"/>
      <c r="D231" s="2"/>
      <c r="E231" s="2"/>
      <c r="F231" s="2"/>
      <c r="G231" s="2"/>
      <c r="H231" s="2"/>
      <c r="I231" s="2"/>
      <c r="J231" s="2"/>
      <c r="K231" s="3"/>
      <c r="L231" s="2"/>
      <c r="M231" s="2"/>
      <c r="N231" s="2"/>
      <c r="O231" s="2"/>
      <c r="P231" s="2"/>
      <c r="Q231" s="16"/>
      <c r="R231" s="16"/>
      <c r="S231" s="17"/>
    </row>
    <row r="232" spans="1:19" ht="20.100000000000001" customHeight="1" x14ac:dyDescent="0.3">
      <c r="A232" s="2"/>
      <c r="B232" s="2"/>
      <c r="C232" s="2"/>
      <c r="D232" s="2"/>
      <c r="E232" s="2"/>
      <c r="F232" s="2"/>
      <c r="G232" s="2"/>
      <c r="H232" s="2"/>
      <c r="I232" s="2"/>
      <c r="J232" s="2"/>
      <c r="K232" s="3"/>
      <c r="L232" s="2"/>
      <c r="M232" s="2"/>
      <c r="N232" s="2"/>
      <c r="O232" s="2"/>
      <c r="P232" s="2"/>
      <c r="Q232" s="16"/>
      <c r="R232" s="16"/>
      <c r="S232" s="17"/>
    </row>
    <row r="233" spans="1:19" ht="20.100000000000001" customHeight="1" x14ac:dyDescent="0.3">
      <c r="A233" s="2"/>
      <c r="B233" s="2"/>
      <c r="C233" s="2"/>
      <c r="D233" s="2"/>
      <c r="E233" s="2"/>
      <c r="F233" s="2"/>
      <c r="G233" s="2"/>
      <c r="H233" s="2"/>
      <c r="I233" s="2"/>
      <c r="J233" s="2"/>
      <c r="K233" s="3"/>
      <c r="L233" s="2"/>
      <c r="M233" s="2"/>
      <c r="N233" s="2"/>
      <c r="O233" s="2"/>
      <c r="P233" s="2"/>
      <c r="Q233" s="16"/>
      <c r="R233" s="16"/>
      <c r="S233" s="17"/>
    </row>
    <row r="234" spans="1:19" ht="20.100000000000001" customHeight="1" x14ac:dyDescent="0.3">
      <c r="A234" s="2"/>
      <c r="B234" s="2"/>
      <c r="C234" s="2"/>
      <c r="D234" s="2"/>
      <c r="E234" s="2"/>
      <c r="F234" s="2"/>
      <c r="G234" s="2"/>
      <c r="H234" s="2"/>
      <c r="I234" s="2"/>
      <c r="J234" s="2"/>
      <c r="K234" s="3"/>
      <c r="L234" s="2"/>
      <c r="M234" s="2"/>
      <c r="N234" s="2"/>
      <c r="O234" s="2"/>
      <c r="P234" s="2"/>
      <c r="Q234" s="16"/>
      <c r="R234" s="16"/>
      <c r="S234" s="17"/>
    </row>
    <row r="235" spans="1:19" ht="20.100000000000001" customHeight="1" x14ac:dyDescent="0.3">
      <c r="A235" s="2"/>
      <c r="B235" s="2"/>
      <c r="C235" s="2"/>
      <c r="D235" s="2"/>
      <c r="E235" s="2"/>
      <c r="F235" s="2"/>
      <c r="G235" s="2"/>
      <c r="H235" s="2"/>
      <c r="I235" s="2"/>
      <c r="J235" s="2"/>
      <c r="K235" s="3"/>
      <c r="L235" s="2"/>
      <c r="M235" s="2"/>
      <c r="N235" s="2"/>
      <c r="O235" s="2"/>
      <c r="P235" s="2"/>
      <c r="Q235" s="16"/>
      <c r="R235" s="16"/>
      <c r="S235" s="17"/>
    </row>
    <row r="236" spans="1:19" ht="20.100000000000001" customHeight="1" x14ac:dyDescent="0.3">
      <c r="A236" s="2"/>
      <c r="B236" s="2"/>
      <c r="C236" s="2"/>
      <c r="D236" s="2"/>
      <c r="E236" s="2"/>
      <c r="F236" s="2"/>
      <c r="G236" s="2"/>
      <c r="H236" s="2"/>
      <c r="I236" s="2"/>
      <c r="J236" s="2"/>
      <c r="K236" s="3"/>
      <c r="L236" s="2"/>
      <c r="M236" s="2"/>
      <c r="N236" s="2"/>
      <c r="O236" s="2"/>
      <c r="P236" s="2"/>
      <c r="Q236" s="16"/>
      <c r="R236" s="16"/>
      <c r="S236" s="17"/>
    </row>
    <row r="237" spans="1:19" ht="20.100000000000001" customHeight="1" x14ac:dyDescent="0.3">
      <c r="A237" s="2"/>
      <c r="B237" s="2"/>
      <c r="C237" s="2"/>
      <c r="D237" s="2"/>
      <c r="E237" s="2"/>
      <c r="F237" s="2"/>
      <c r="G237" s="2"/>
      <c r="H237" s="2"/>
      <c r="I237" s="2"/>
      <c r="J237" s="2"/>
      <c r="K237" s="3"/>
      <c r="L237" s="2"/>
      <c r="M237" s="2"/>
      <c r="N237" s="2"/>
      <c r="O237" s="2"/>
      <c r="P237" s="2"/>
      <c r="Q237" s="16"/>
      <c r="R237" s="16"/>
      <c r="S237" s="17"/>
    </row>
    <row r="238" spans="1:19" ht="20.100000000000001" customHeight="1" x14ac:dyDescent="0.3">
      <c r="A238" s="2"/>
      <c r="B238" s="2"/>
      <c r="C238" s="2"/>
      <c r="D238" s="2"/>
      <c r="E238" s="2"/>
      <c r="F238" s="2"/>
      <c r="G238" s="2"/>
      <c r="H238" s="2"/>
      <c r="I238" s="2"/>
      <c r="J238" s="2"/>
      <c r="K238" s="3"/>
      <c r="L238" s="2"/>
      <c r="M238" s="2"/>
      <c r="N238" s="2"/>
      <c r="O238" s="2"/>
      <c r="P238" s="2"/>
      <c r="Q238" s="16"/>
      <c r="R238" s="16"/>
      <c r="S238" s="17"/>
    </row>
    <row r="239" spans="1:19" ht="20.100000000000001" customHeight="1" x14ac:dyDescent="0.3">
      <c r="A239" s="2"/>
      <c r="B239" s="2"/>
      <c r="C239" s="2"/>
      <c r="D239" s="2"/>
      <c r="E239" s="2"/>
      <c r="F239" s="2"/>
      <c r="G239" s="2"/>
      <c r="H239" s="2"/>
      <c r="I239" s="2"/>
      <c r="J239" s="2"/>
      <c r="K239" s="3"/>
      <c r="L239" s="2"/>
      <c r="M239" s="2"/>
      <c r="N239" s="2"/>
      <c r="O239" s="2"/>
      <c r="P239" s="2"/>
      <c r="Q239" s="16"/>
      <c r="R239" s="16"/>
      <c r="S239" s="17"/>
    </row>
    <row r="240" spans="1:19" ht="20.100000000000001" customHeight="1" x14ac:dyDescent="0.3">
      <c r="A240" s="2"/>
      <c r="B240" s="2"/>
      <c r="C240" s="2"/>
      <c r="D240" s="2"/>
      <c r="E240" s="2"/>
      <c r="F240" s="2"/>
      <c r="G240" s="2"/>
      <c r="H240" s="2"/>
      <c r="I240" s="2"/>
      <c r="J240" s="2"/>
      <c r="K240" s="3"/>
      <c r="L240" s="2"/>
      <c r="M240" s="2"/>
      <c r="N240" s="2"/>
      <c r="O240" s="2"/>
      <c r="P240" s="2"/>
      <c r="Q240" s="16"/>
      <c r="R240" s="16"/>
      <c r="S240" s="17"/>
    </row>
    <row r="241" spans="1:19" ht="20.100000000000001" customHeight="1" x14ac:dyDescent="0.3">
      <c r="A241" s="2"/>
      <c r="B241" s="2"/>
      <c r="C241" s="2"/>
      <c r="D241" s="2"/>
      <c r="E241" s="2"/>
      <c r="F241" s="2"/>
      <c r="G241" s="2"/>
      <c r="H241" s="2"/>
      <c r="I241" s="2"/>
      <c r="J241" s="2"/>
      <c r="K241" s="3"/>
      <c r="L241" s="2"/>
      <c r="M241" s="2"/>
      <c r="N241" s="2"/>
      <c r="O241" s="2"/>
      <c r="P241" s="2"/>
      <c r="Q241" s="16"/>
      <c r="R241" s="16"/>
      <c r="S241" s="17"/>
    </row>
    <row r="242" spans="1:19" ht="20.100000000000001" customHeight="1" x14ac:dyDescent="0.3">
      <c r="A242" s="2"/>
      <c r="B242" s="2"/>
      <c r="C242" s="2"/>
      <c r="D242" s="2"/>
      <c r="E242" s="2"/>
      <c r="F242" s="2"/>
      <c r="G242" s="2"/>
      <c r="H242" s="2"/>
      <c r="I242" s="2"/>
      <c r="J242" s="2"/>
      <c r="K242" s="3"/>
      <c r="L242" s="2"/>
      <c r="M242" s="2"/>
      <c r="N242" s="2"/>
      <c r="O242" s="2"/>
      <c r="P242" s="2"/>
      <c r="Q242" s="16"/>
      <c r="R242" s="16"/>
      <c r="S242" s="17"/>
    </row>
    <row r="243" spans="1:19" ht="20.100000000000001" customHeight="1" x14ac:dyDescent="0.3">
      <c r="A243" s="2"/>
      <c r="B243" s="2"/>
      <c r="C243" s="2"/>
      <c r="D243" s="2"/>
      <c r="E243" s="2"/>
      <c r="F243" s="2"/>
      <c r="G243" s="2"/>
      <c r="H243" s="2"/>
      <c r="I243" s="2"/>
      <c r="J243" s="2"/>
      <c r="K243" s="3"/>
      <c r="L243" s="2"/>
      <c r="M243" s="2"/>
      <c r="N243" s="2"/>
      <c r="O243" s="2"/>
      <c r="P243" s="2"/>
      <c r="Q243" s="16"/>
      <c r="R243" s="16"/>
      <c r="S243" s="17"/>
    </row>
    <row r="244" spans="1:19" ht="20.100000000000001" customHeight="1" x14ac:dyDescent="0.3">
      <c r="A244" s="2"/>
      <c r="B244" s="2"/>
      <c r="C244" s="2"/>
      <c r="D244" s="2"/>
      <c r="E244" s="2"/>
      <c r="F244" s="2"/>
      <c r="G244" s="2"/>
      <c r="H244" s="2"/>
      <c r="I244" s="2"/>
      <c r="J244" s="2"/>
      <c r="K244" s="3"/>
      <c r="L244" s="2"/>
      <c r="M244" s="2"/>
      <c r="N244" s="2"/>
      <c r="O244" s="2"/>
      <c r="P244" s="2"/>
      <c r="Q244" s="16"/>
      <c r="R244" s="16"/>
      <c r="S244" s="17"/>
    </row>
    <row r="245" spans="1:19" ht="20.100000000000001" customHeight="1" x14ac:dyDescent="0.3">
      <c r="A245" s="2"/>
      <c r="B245" s="2"/>
      <c r="C245" s="2"/>
      <c r="D245" s="2"/>
      <c r="E245" s="2"/>
      <c r="F245" s="2"/>
      <c r="G245" s="2"/>
      <c r="H245" s="2"/>
      <c r="I245" s="2"/>
      <c r="J245" s="2"/>
      <c r="K245" s="3"/>
      <c r="L245" s="2"/>
      <c r="M245" s="2"/>
      <c r="N245" s="2"/>
      <c r="O245" s="2"/>
      <c r="P245" s="2"/>
      <c r="Q245" s="16"/>
      <c r="R245" s="16"/>
      <c r="S245" s="17"/>
    </row>
    <row r="246" spans="1:19" ht="20.100000000000001" customHeight="1" x14ac:dyDescent="0.3">
      <c r="A246" s="2"/>
      <c r="B246" s="2"/>
      <c r="C246" s="2"/>
      <c r="D246" s="2"/>
      <c r="E246" s="2"/>
      <c r="F246" s="2"/>
      <c r="G246" s="2"/>
      <c r="H246" s="2"/>
      <c r="I246" s="2"/>
      <c r="J246" s="2"/>
      <c r="K246" s="3"/>
      <c r="L246" s="2"/>
      <c r="M246" s="2"/>
      <c r="N246" s="2"/>
      <c r="O246" s="2"/>
      <c r="P246" s="2"/>
      <c r="Q246" s="16"/>
      <c r="R246" s="16"/>
      <c r="S246" s="17"/>
    </row>
    <row r="247" spans="1:19" ht="20.100000000000001" customHeight="1" x14ac:dyDescent="0.3">
      <c r="A247" s="2"/>
      <c r="B247" s="2"/>
      <c r="C247" s="2"/>
      <c r="D247" s="2"/>
      <c r="E247" s="2"/>
      <c r="F247" s="2"/>
      <c r="G247" s="2"/>
      <c r="H247" s="2"/>
      <c r="I247" s="2"/>
      <c r="J247" s="2"/>
      <c r="K247" s="3"/>
      <c r="L247" s="2"/>
      <c r="M247" s="2"/>
      <c r="N247" s="2"/>
      <c r="O247" s="2"/>
      <c r="P247" s="2"/>
      <c r="Q247" s="16"/>
      <c r="R247" s="16"/>
      <c r="S247" s="17"/>
    </row>
    <row r="248" spans="1:19" ht="20.100000000000001" customHeight="1" x14ac:dyDescent="0.3">
      <c r="A248" s="2"/>
      <c r="B248" s="2"/>
      <c r="C248" s="2"/>
      <c r="D248" s="2"/>
      <c r="E248" s="2"/>
      <c r="F248" s="2"/>
      <c r="G248" s="2"/>
      <c r="H248" s="2"/>
      <c r="I248" s="2"/>
      <c r="J248" s="2"/>
      <c r="K248" s="3"/>
      <c r="L248" s="2"/>
      <c r="M248" s="2"/>
      <c r="N248" s="2"/>
      <c r="O248" s="2"/>
      <c r="P248" s="2"/>
      <c r="Q248" s="16"/>
      <c r="R248" s="16"/>
      <c r="S248" s="17"/>
    </row>
    <row r="249" spans="1:19" ht="20.100000000000001" customHeight="1" x14ac:dyDescent="0.3">
      <c r="A249" s="2"/>
      <c r="B249" s="2"/>
      <c r="C249" s="2"/>
      <c r="D249" s="2"/>
      <c r="E249" s="2"/>
      <c r="F249" s="2"/>
      <c r="G249" s="2"/>
      <c r="H249" s="2"/>
      <c r="I249" s="2"/>
      <c r="J249" s="2"/>
      <c r="K249" s="3"/>
      <c r="L249" s="2"/>
      <c r="M249" s="2"/>
      <c r="N249" s="2"/>
      <c r="O249" s="2"/>
      <c r="P249" s="2"/>
      <c r="Q249" s="16"/>
      <c r="R249" s="16"/>
      <c r="S249" s="17"/>
    </row>
    <row r="250" spans="1:19" ht="20.100000000000001" customHeight="1" x14ac:dyDescent="0.3">
      <c r="A250" s="2"/>
      <c r="B250" s="2"/>
      <c r="C250" s="2"/>
      <c r="D250" s="2"/>
      <c r="E250" s="2"/>
      <c r="F250" s="2"/>
      <c r="G250" s="2"/>
      <c r="H250" s="2"/>
      <c r="I250" s="2"/>
      <c r="J250" s="2"/>
      <c r="K250" s="3"/>
      <c r="L250" s="2"/>
      <c r="M250" s="2"/>
      <c r="N250" s="2"/>
      <c r="O250" s="2"/>
      <c r="P250" s="2"/>
      <c r="Q250" s="16"/>
      <c r="R250" s="16"/>
      <c r="S250" s="17"/>
    </row>
    <row r="251" spans="1:19" ht="20.100000000000001" customHeight="1" x14ac:dyDescent="0.3">
      <c r="A251" s="2"/>
      <c r="B251" s="2"/>
      <c r="C251" s="2"/>
      <c r="D251" s="2"/>
      <c r="E251" s="2"/>
      <c r="F251" s="2"/>
      <c r="G251" s="2"/>
      <c r="H251" s="2"/>
      <c r="I251" s="2"/>
      <c r="J251" s="2"/>
      <c r="K251" s="3"/>
      <c r="L251" s="2"/>
      <c r="M251" s="2"/>
      <c r="N251" s="2"/>
      <c r="O251" s="2"/>
      <c r="P251" s="2"/>
      <c r="Q251" s="16"/>
      <c r="R251" s="16"/>
      <c r="S251" s="17"/>
    </row>
    <row r="252" spans="1:19" ht="20.100000000000001" customHeight="1" x14ac:dyDescent="0.3">
      <c r="A252" s="2"/>
      <c r="B252" s="2"/>
      <c r="C252" s="2"/>
      <c r="D252" s="2"/>
      <c r="E252" s="2"/>
      <c r="F252" s="2"/>
      <c r="G252" s="2"/>
      <c r="H252" s="2"/>
      <c r="I252" s="2"/>
      <c r="J252" s="2"/>
      <c r="K252" s="3"/>
      <c r="L252" s="2"/>
      <c r="M252" s="2"/>
      <c r="N252" s="2"/>
      <c r="O252" s="2"/>
      <c r="P252" s="2"/>
      <c r="Q252" s="16"/>
      <c r="R252" s="16"/>
      <c r="S252" s="17"/>
    </row>
    <row r="253" spans="1:19" ht="20.100000000000001" customHeight="1" x14ac:dyDescent="0.3">
      <c r="A253" s="2"/>
      <c r="B253" s="2"/>
      <c r="C253" s="2"/>
      <c r="D253" s="2"/>
      <c r="E253" s="2"/>
      <c r="F253" s="2"/>
      <c r="G253" s="2"/>
      <c r="H253" s="2"/>
      <c r="I253" s="2"/>
      <c r="J253" s="2"/>
      <c r="K253" s="3"/>
      <c r="L253" s="2"/>
      <c r="M253" s="2"/>
      <c r="N253" s="2"/>
      <c r="O253" s="2"/>
      <c r="P253" s="2"/>
      <c r="Q253" s="16"/>
      <c r="R253" s="16"/>
      <c r="S253" s="17"/>
    </row>
    <row r="254" spans="1:19" ht="20.100000000000001" customHeight="1" x14ac:dyDescent="0.3">
      <c r="A254" s="2"/>
      <c r="B254" s="2"/>
      <c r="C254" s="2"/>
      <c r="D254" s="2"/>
      <c r="E254" s="2"/>
      <c r="F254" s="2"/>
      <c r="G254" s="2"/>
      <c r="H254" s="2"/>
      <c r="I254" s="2"/>
      <c r="J254" s="2"/>
      <c r="K254" s="3"/>
      <c r="L254" s="2"/>
      <c r="M254" s="2"/>
      <c r="N254" s="2"/>
      <c r="O254" s="2"/>
      <c r="P254" s="2"/>
      <c r="Q254" s="16"/>
      <c r="R254" s="16"/>
      <c r="S254" s="17"/>
    </row>
    <row r="255" spans="1:19" ht="20.100000000000001" customHeight="1" x14ac:dyDescent="0.3">
      <c r="A255" s="2"/>
      <c r="B255" s="2"/>
      <c r="C255" s="2"/>
      <c r="D255" s="2"/>
      <c r="E255" s="2"/>
      <c r="F255" s="2"/>
      <c r="G255" s="2"/>
      <c r="H255" s="2"/>
      <c r="I255" s="2"/>
      <c r="J255" s="2"/>
      <c r="K255" s="3"/>
      <c r="L255" s="2"/>
      <c r="M255" s="2"/>
      <c r="N255" s="2"/>
      <c r="O255" s="2"/>
      <c r="P255" s="2"/>
      <c r="Q255" s="16"/>
      <c r="R255" s="16"/>
      <c r="S255" s="17"/>
    </row>
    <row r="256" spans="1:19" ht="20.100000000000001" customHeight="1" x14ac:dyDescent="0.3">
      <c r="A256" s="2"/>
      <c r="B256" s="2"/>
      <c r="C256" s="2"/>
      <c r="D256" s="2"/>
      <c r="E256" s="2"/>
      <c r="F256" s="2"/>
      <c r="G256" s="2"/>
      <c r="H256" s="2"/>
      <c r="I256" s="2"/>
      <c r="J256" s="2"/>
      <c r="K256" s="3"/>
      <c r="L256" s="2"/>
      <c r="M256" s="2"/>
      <c r="N256" s="2"/>
      <c r="O256" s="2"/>
      <c r="P256" s="2"/>
      <c r="Q256" s="16"/>
      <c r="R256" s="16"/>
      <c r="S256" s="17"/>
    </row>
    <row r="257" spans="1:19" ht="20.100000000000001" customHeight="1" x14ac:dyDescent="0.3">
      <c r="A257" s="2"/>
      <c r="B257" s="2"/>
      <c r="C257" s="2"/>
      <c r="D257" s="2"/>
      <c r="E257" s="2"/>
      <c r="F257" s="2"/>
      <c r="G257" s="2"/>
      <c r="H257" s="2"/>
      <c r="I257" s="2"/>
      <c r="J257" s="2"/>
      <c r="K257" s="3"/>
      <c r="L257" s="2"/>
      <c r="M257" s="2"/>
      <c r="N257" s="2"/>
      <c r="O257" s="2"/>
      <c r="P257" s="2"/>
      <c r="Q257" s="16"/>
      <c r="R257" s="16"/>
      <c r="S257" s="17"/>
    </row>
    <row r="258" spans="1:19" ht="20.100000000000001" customHeight="1" x14ac:dyDescent="0.3">
      <c r="A258" s="2"/>
      <c r="B258" s="2"/>
      <c r="C258" s="2"/>
      <c r="D258" s="2"/>
      <c r="E258" s="2"/>
      <c r="F258" s="2"/>
      <c r="G258" s="2"/>
      <c r="H258" s="2"/>
      <c r="I258" s="2"/>
      <c r="J258" s="2"/>
      <c r="K258" s="3"/>
      <c r="L258" s="2"/>
      <c r="M258" s="2"/>
      <c r="N258" s="2"/>
      <c r="O258" s="2"/>
      <c r="P258" s="2"/>
      <c r="Q258" s="16"/>
      <c r="R258" s="16"/>
      <c r="S258" s="17"/>
    </row>
    <row r="259" spans="1:19" ht="20.100000000000001" customHeight="1" x14ac:dyDescent="0.3">
      <c r="A259" s="2"/>
      <c r="B259" s="2"/>
      <c r="C259" s="2"/>
      <c r="D259" s="2"/>
      <c r="E259" s="2"/>
      <c r="F259" s="2"/>
      <c r="G259" s="2"/>
      <c r="H259" s="2"/>
      <c r="I259" s="2"/>
      <c r="J259" s="2"/>
      <c r="K259" s="3"/>
      <c r="L259" s="2"/>
      <c r="M259" s="2"/>
      <c r="N259" s="2"/>
      <c r="O259" s="2"/>
      <c r="P259" s="2"/>
      <c r="Q259" s="16"/>
      <c r="R259" s="16"/>
      <c r="S259" s="17"/>
    </row>
    <row r="260" spans="1:19" ht="20.100000000000001" customHeight="1" x14ac:dyDescent="0.3">
      <c r="A260" s="2"/>
      <c r="B260" s="2"/>
      <c r="C260" s="2"/>
      <c r="D260" s="2"/>
      <c r="E260" s="2"/>
      <c r="F260" s="2"/>
      <c r="G260" s="2"/>
      <c r="H260" s="2"/>
      <c r="I260" s="2"/>
      <c r="J260" s="2"/>
      <c r="K260" s="3"/>
      <c r="L260" s="2"/>
      <c r="M260" s="2"/>
      <c r="N260" s="2"/>
      <c r="O260" s="2"/>
      <c r="P260" s="2"/>
      <c r="Q260" s="16"/>
      <c r="R260" s="16"/>
      <c r="S260" s="17"/>
    </row>
    <row r="261" spans="1:19" ht="20.100000000000001" customHeight="1" x14ac:dyDescent="0.3">
      <c r="A261" s="2"/>
      <c r="B261" s="2"/>
      <c r="C261" s="2"/>
      <c r="D261" s="2"/>
      <c r="E261" s="2"/>
      <c r="F261" s="2"/>
      <c r="G261" s="2"/>
      <c r="H261" s="2"/>
      <c r="I261" s="2"/>
      <c r="J261" s="2"/>
      <c r="K261" s="3"/>
      <c r="L261" s="2"/>
      <c r="M261" s="2"/>
      <c r="N261" s="2"/>
      <c r="O261" s="2"/>
      <c r="P261" s="2"/>
      <c r="Q261" s="16"/>
      <c r="R261" s="16"/>
      <c r="S261" s="17"/>
    </row>
    <row r="262" spans="1:19" ht="20.100000000000001" customHeight="1" x14ac:dyDescent="0.3">
      <c r="A262" s="2"/>
      <c r="B262" s="2"/>
      <c r="C262" s="2"/>
      <c r="D262" s="2"/>
      <c r="E262" s="2"/>
      <c r="F262" s="2"/>
      <c r="G262" s="2"/>
      <c r="H262" s="2"/>
      <c r="I262" s="2"/>
      <c r="J262" s="2"/>
      <c r="K262" s="3"/>
      <c r="L262" s="2"/>
      <c r="M262" s="2"/>
      <c r="N262" s="2"/>
      <c r="O262" s="2"/>
      <c r="P262" s="2"/>
      <c r="Q262" s="16"/>
      <c r="R262" s="16"/>
      <c r="S262" s="17"/>
    </row>
    <row r="263" spans="1:19" ht="20.100000000000001" customHeight="1" x14ac:dyDescent="0.3">
      <c r="A263" s="2"/>
      <c r="B263" s="2"/>
      <c r="C263" s="2"/>
      <c r="D263" s="2"/>
      <c r="E263" s="2"/>
      <c r="F263" s="2"/>
      <c r="G263" s="2"/>
      <c r="H263" s="2"/>
      <c r="I263" s="2"/>
      <c r="J263" s="2"/>
      <c r="K263" s="3"/>
      <c r="L263" s="2"/>
      <c r="M263" s="2"/>
      <c r="N263" s="2"/>
      <c r="O263" s="2"/>
      <c r="P263" s="2"/>
      <c r="Q263" s="16"/>
      <c r="R263" s="16"/>
      <c r="S263" s="17"/>
    </row>
    <row r="264" spans="1:19" ht="20.100000000000001" customHeight="1" x14ac:dyDescent="0.3">
      <c r="A264" s="2"/>
      <c r="B264" s="2"/>
      <c r="C264" s="2"/>
      <c r="D264" s="2"/>
      <c r="E264" s="2"/>
      <c r="F264" s="2"/>
      <c r="G264" s="2"/>
      <c r="H264" s="2"/>
      <c r="I264" s="2"/>
      <c r="J264" s="2"/>
      <c r="K264" s="3"/>
      <c r="L264" s="2"/>
      <c r="M264" s="2"/>
      <c r="N264" s="2"/>
      <c r="O264" s="2"/>
      <c r="P264" s="2"/>
      <c r="Q264" s="16"/>
      <c r="R264" s="16"/>
      <c r="S264" s="17"/>
    </row>
    <row r="265" spans="1:19" ht="20.100000000000001" customHeight="1" x14ac:dyDescent="0.3">
      <c r="A265" s="2"/>
      <c r="B265" s="2"/>
      <c r="C265" s="2"/>
      <c r="D265" s="2"/>
      <c r="E265" s="2"/>
      <c r="F265" s="2"/>
      <c r="G265" s="2"/>
      <c r="H265" s="2"/>
      <c r="I265" s="2"/>
      <c r="J265" s="2"/>
      <c r="K265" s="3"/>
      <c r="L265" s="2"/>
      <c r="M265" s="2"/>
      <c r="N265" s="2"/>
      <c r="O265" s="2"/>
      <c r="P265" s="2"/>
      <c r="Q265" s="16"/>
      <c r="R265" s="16"/>
      <c r="S265" s="17"/>
    </row>
    <row r="266" spans="1:19" ht="20.100000000000001" customHeight="1" x14ac:dyDescent="0.3">
      <c r="A266" s="2"/>
      <c r="B266" s="2"/>
      <c r="C266" s="2"/>
      <c r="D266" s="2"/>
      <c r="E266" s="2"/>
      <c r="F266" s="2"/>
      <c r="G266" s="2"/>
      <c r="H266" s="2"/>
      <c r="I266" s="2"/>
      <c r="J266" s="2"/>
      <c r="K266" s="3"/>
      <c r="L266" s="2"/>
      <c r="M266" s="2"/>
      <c r="N266" s="2"/>
      <c r="O266" s="2"/>
      <c r="P266" s="2"/>
      <c r="Q266" s="16"/>
      <c r="R266" s="16"/>
      <c r="S266" s="17"/>
    </row>
    <row r="267" spans="1:19" ht="20.100000000000001" customHeight="1" x14ac:dyDescent="0.3">
      <c r="A267" s="2"/>
      <c r="B267" s="2"/>
      <c r="C267" s="2"/>
      <c r="D267" s="2"/>
      <c r="E267" s="2"/>
      <c r="F267" s="2"/>
      <c r="G267" s="2"/>
      <c r="H267" s="2"/>
      <c r="I267" s="2"/>
      <c r="J267" s="2"/>
      <c r="K267" s="3"/>
      <c r="L267" s="2"/>
      <c r="M267" s="2"/>
      <c r="N267" s="2"/>
      <c r="O267" s="2"/>
      <c r="P267" s="2"/>
      <c r="Q267" s="16"/>
      <c r="R267" s="16"/>
      <c r="S267" s="17"/>
    </row>
    <row r="268" spans="1:19" ht="20.100000000000001" customHeight="1" x14ac:dyDescent="0.3">
      <c r="A268" s="2"/>
      <c r="B268" s="2"/>
      <c r="C268" s="2"/>
      <c r="D268" s="2"/>
      <c r="E268" s="2"/>
      <c r="F268" s="2"/>
      <c r="G268" s="2"/>
      <c r="H268" s="2"/>
      <c r="I268" s="2"/>
      <c r="J268" s="2"/>
      <c r="K268" s="3"/>
      <c r="L268" s="2"/>
      <c r="M268" s="2"/>
      <c r="N268" s="2"/>
      <c r="O268" s="2"/>
      <c r="P268" s="2"/>
      <c r="Q268" s="16"/>
      <c r="R268" s="16"/>
      <c r="S268" s="17"/>
    </row>
    <row r="269" spans="1:19" ht="20.100000000000001" customHeight="1" x14ac:dyDescent="0.3">
      <c r="A269" s="2"/>
      <c r="B269" s="2"/>
      <c r="C269" s="2"/>
      <c r="D269" s="2"/>
      <c r="E269" s="2"/>
      <c r="F269" s="2"/>
      <c r="G269" s="2"/>
      <c r="H269" s="2"/>
      <c r="I269" s="2"/>
      <c r="J269" s="2"/>
      <c r="K269" s="3"/>
      <c r="L269" s="2"/>
      <c r="M269" s="2"/>
      <c r="N269" s="2"/>
      <c r="O269" s="2"/>
      <c r="P269" s="2"/>
      <c r="Q269" s="16"/>
      <c r="R269" s="16"/>
      <c r="S269" s="17"/>
    </row>
    <row r="270" spans="1:19" ht="20.100000000000001" customHeight="1" x14ac:dyDescent="0.3">
      <c r="A270" s="2"/>
      <c r="B270" s="2"/>
      <c r="C270" s="2"/>
      <c r="D270" s="2"/>
      <c r="E270" s="2"/>
      <c r="F270" s="2"/>
      <c r="G270" s="2"/>
      <c r="H270" s="2"/>
      <c r="I270" s="2"/>
      <c r="J270" s="2"/>
      <c r="K270" s="3"/>
      <c r="L270" s="2"/>
      <c r="M270" s="2"/>
      <c r="N270" s="2"/>
      <c r="O270" s="2"/>
      <c r="P270" s="2"/>
      <c r="Q270" s="16"/>
      <c r="R270" s="16"/>
      <c r="S270" s="17"/>
    </row>
    <row r="271" spans="1:19" ht="20.100000000000001" customHeight="1" x14ac:dyDescent="0.3">
      <c r="A271" s="2"/>
      <c r="B271" s="2"/>
      <c r="C271" s="2"/>
      <c r="D271" s="2"/>
      <c r="E271" s="2"/>
      <c r="F271" s="2"/>
      <c r="G271" s="2"/>
      <c r="H271" s="2"/>
      <c r="I271" s="2"/>
      <c r="J271" s="2"/>
      <c r="K271" s="3"/>
      <c r="L271" s="2"/>
      <c r="M271" s="2"/>
      <c r="N271" s="2"/>
      <c r="O271" s="2"/>
      <c r="P271" s="2"/>
      <c r="Q271" s="16"/>
      <c r="R271" s="16"/>
      <c r="S271" s="17"/>
    </row>
    <row r="272" spans="1:19" ht="20.100000000000001" customHeight="1" x14ac:dyDescent="0.3">
      <c r="A272" s="2"/>
      <c r="B272" s="2"/>
      <c r="C272" s="2"/>
      <c r="D272" s="2"/>
      <c r="E272" s="2"/>
      <c r="F272" s="2"/>
      <c r="G272" s="2"/>
      <c r="H272" s="2"/>
      <c r="I272" s="2"/>
      <c r="J272" s="2"/>
      <c r="K272" s="3"/>
      <c r="L272" s="2"/>
      <c r="M272" s="2"/>
      <c r="N272" s="2"/>
      <c r="O272" s="2"/>
      <c r="P272" s="2"/>
      <c r="Q272" s="16"/>
      <c r="R272" s="16"/>
      <c r="S272" s="17"/>
    </row>
    <row r="273" spans="1:19" ht="20.100000000000001" customHeight="1" x14ac:dyDescent="0.3">
      <c r="A273" s="2"/>
      <c r="B273" s="2"/>
      <c r="C273" s="2"/>
      <c r="D273" s="2"/>
      <c r="E273" s="2"/>
      <c r="F273" s="2"/>
      <c r="G273" s="2"/>
      <c r="H273" s="2"/>
      <c r="I273" s="2"/>
      <c r="J273" s="2"/>
      <c r="K273" s="3"/>
      <c r="L273" s="2"/>
      <c r="M273" s="2"/>
      <c r="N273" s="2"/>
      <c r="O273" s="2"/>
      <c r="P273" s="2"/>
      <c r="Q273" s="16"/>
      <c r="R273" s="16"/>
      <c r="S273" s="17"/>
    </row>
    <row r="274" spans="1:19" ht="20.100000000000001" customHeight="1" x14ac:dyDescent="0.3">
      <c r="A274" s="2"/>
      <c r="B274" s="2"/>
      <c r="C274" s="2"/>
      <c r="D274" s="2"/>
      <c r="E274" s="2"/>
      <c r="F274" s="2"/>
      <c r="G274" s="2"/>
      <c r="H274" s="2"/>
      <c r="I274" s="2"/>
      <c r="J274" s="2"/>
      <c r="K274" s="3"/>
      <c r="L274" s="2"/>
      <c r="M274" s="2"/>
      <c r="N274" s="2"/>
      <c r="O274" s="2"/>
      <c r="P274" s="2"/>
      <c r="Q274" s="16"/>
      <c r="R274" s="16"/>
      <c r="S274" s="17"/>
    </row>
    <row r="275" spans="1:19" ht="20.100000000000001" customHeight="1" x14ac:dyDescent="0.3">
      <c r="A275" s="2"/>
      <c r="B275" s="2"/>
      <c r="C275" s="2"/>
      <c r="D275" s="2"/>
      <c r="E275" s="2"/>
      <c r="F275" s="2"/>
      <c r="G275" s="2"/>
      <c r="H275" s="2"/>
      <c r="I275" s="2"/>
      <c r="J275" s="2"/>
      <c r="K275" s="3"/>
      <c r="L275" s="2"/>
      <c r="M275" s="2"/>
      <c r="N275" s="2"/>
      <c r="O275" s="2"/>
      <c r="P275" s="2"/>
      <c r="Q275" s="16"/>
      <c r="R275" s="16"/>
      <c r="S275" s="17"/>
    </row>
    <row r="276" spans="1:19" ht="20.100000000000001" customHeight="1" x14ac:dyDescent="0.3">
      <c r="A276" s="2"/>
      <c r="B276" s="2"/>
      <c r="C276" s="2"/>
      <c r="D276" s="2"/>
      <c r="E276" s="2"/>
      <c r="F276" s="2"/>
      <c r="G276" s="2"/>
      <c r="H276" s="2"/>
      <c r="I276" s="2"/>
      <c r="J276" s="2"/>
      <c r="K276" s="3"/>
      <c r="L276" s="2"/>
      <c r="M276" s="2"/>
      <c r="N276" s="2"/>
      <c r="O276" s="2"/>
      <c r="P276" s="2"/>
      <c r="Q276" s="16"/>
      <c r="R276" s="16"/>
      <c r="S276" s="17"/>
    </row>
    <row r="277" spans="1:19" ht="20.100000000000001" customHeight="1" x14ac:dyDescent="0.3">
      <c r="A277" s="2"/>
      <c r="B277" s="2"/>
      <c r="C277" s="2"/>
      <c r="D277" s="2"/>
      <c r="E277" s="2"/>
      <c r="F277" s="2"/>
      <c r="G277" s="2"/>
      <c r="H277" s="2"/>
      <c r="I277" s="2"/>
      <c r="J277" s="2"/>
      <c r="K277" s="3"/>
      <c r="L277" s="2"/>
      <c r="M277" s="2"/>
      <c r="N277" s="2"/>
      <c r="O277" s="2"/>
      <c r="P277" s="2"/>
      <c r="Q277" s="16"/>
      <c r="R277" s="16"/>
      <c r="S277" s="17"/>
    </row>
    <row r="278" spans="1:19" ht="20.100000000000001" customHeight="1" x14ac:dyDescent="0.3">
      <c r="A278" s="2"/>
      <c r="B278" s="2"/>
      <c r="C278" s="2"/>
      <c r="D278" s="2"/>
      <c r="E278" s="2"/>
      <c r="F278" s="2"/>
      <c r="G278" s="2"/>
      <c r="H278" s="2"/>
      <c r="I278" s="2"/>
      <c r="J278" s="2"/>
      <c r="K278" s="3"/>
      <c r="L278" s="2"/>
      <c r="M278" s="2"/>
      <c r="N278" s="2"/>
      <c r="O278" s="2"/>
      <c r="P278" s="2"/>
      <c r="Q278" s="16"/>
      <c r="R278" s="16"/>
      <c r="S278" s="17"/>
    </row>
    <row r="279" spans="1:19" ht="20.100000000000001" customHeight="1" x14ac:dyDescent="0.3">
      <c r="A279" s="2"/>
      <c r="B279" s="2"/>
      <c r="C279" s="2"/>
      <c r="D279" s="2"/>
      <c r="E279" s="2"/>
      <c r="F279" s="2"/>
      <c r="G279" s="2"/>
      <c r="H279" s="2"/>
      <c r="I279" s="2"/>
      <c r="J279" s="2"/>
      <c r="K279" s="3"/>
      <c r="L279" s="2"/>
      <c r="M279" s="2"/>
      <c r="N279" s="2"/>
      <c r="O279" s="2"/>
      <c r="P279" s="2"/>
      <c r="Q279" s="16"/>
      <c r="R279" s="16"/>
      <c r="S279" s="17"/>
    </row>
    <row r="280" spans="1:19" ht="20.100000000000001" customHeight="1" x14ac:dyDescent="0.3">
      <c r="A280" s="2"/>
      <c r="B280" s="2"/>
      <c r="C280" s="2"/>
      <c r="D280" s="2"/>
      <c r="E280" s="2"/>
      <c r="F280" s="2"/>
      <c r="G280" s="2"/>
      <c r="H280" s="2"/>
      <c r="I280" s="2"/>
      <c r="J280" s="2"/>
      <c r="K280" s="3"/>
      <c r="L280" s="2"/>
      <c r="M280" s="2"/>
      <c r="N280" s="2"/>
      <c r="O280" s="2"/>
      <c r="P280" s="2"/>
      <c r="Q280" s="16"/>
      <c r="R280" s="16"/>
      <c r="S280" s="17"/>
    </row>
    <row r="281" spans="1:19" ht="20.100000000000001" customHeight="1" x14ac:dyDescent="0.3">
      <c r="A281" s="2"/>
      <c r="B281" s="2"/>
      <c r="C281" s="2"/>
      <c r="D281" s="2"/>
      <c r="E281" s="2"/>
      <c r="F281" s="2"/>
      <c r="G281" s="2"/>
      <c r="H281" s="2"/>
      <c r="I281" s="2"/>
      <c r="J281" s="2"/>
      <c r="K281" s="3"/>
      <c r="L281" s="2"/>
      <c r="M281" s="2"/>
      <c r="N281" s="2"/>
      <c r="O281" s="2"/>
      <c r="P281" s="2"/>
      <c r="Q281" s="16"/>
      <c r="R281" s="16"/>
      <c r="S281" s="17"/>
    </row>
    <row r="282" spans="1:19" ht="20.100000000000001" customHeight="1" x14ac:dyDescent="0.3">
      <c r="A282" s="2"/>
      <c r="B282" s="2"/>
      <c r="C282" s="2"/>
      <c r="D282" s="2"/>
      <c r="E282" s="2"/>
      <c r="F282" s="2"/>
      <c r="G282" s="2"/>
      <c r="H282" s="2"/>
      <c r="I282" s="2"/>
      <c r="J282" s="2"/>
      <c r="K282" s="3"/>
      <c r="L282" s="2"/>
      <c r="M282" s="2"/>
      <c r="N282" s="2"/>
      <c r="O282" s="2"/>
      <c r="P282" s="2"/>
      <c r="Q282" s="16"/>
      <c r="R282" s="16"/>
      <c r="S282" s="17"/>
    </row>
    <row r="283" spans="1:19" ht="20.100000000000001" customHeight="1" x14ac:dyDescent="0.3">
      <c r="A283" s="2"/>
      <c r="B283" s="2"/>
      <c r="C283" s="2"/>
      <c r="D283" s="2"/>
      <c r="E283" s="2"/>
      <c r="F283" s="2"/>
      <c r="G283" s="2"/>
      <c r="H283" s="2"/>
      <c r="I283" s="2"/>
      <c r="J283" s="2"/>
      <c r="K283" s="3"/>
      <c r="L283" s="2"/>
      <c r="M283" s="2"/>
      <c r="N283" s="2"/>
      <c r="O283" s="2"/>
      <c r="P283" s="2"/>
      <c r="Q283" s="16"/>
      <c r="R283" s="16"/>
      <c r="S283" s="17"/>
    </row>
    <row r="284" spans="1:19" ht="20.100000000000001" customHeight="1" x14ac:dyDescent="0.3">
      <c r="A284" s="2"/>
      <c r="B284" s="2"/>
      <c r="C284" s="2"/>
      <c r="D284" s="2"/>
      <c r="E284" s="2"/>
      <c r="F284" s="2"/>
      <c r="G284" s="2"/>
      <c r="H284" s="2"/>
      <c r="I284" s="2"/>
      <c r="J284" s="2"/>
      <c r="K284" s="3"/>
      <c r="L284" s="2"/>
      <c r="M284" s="2"/>
      <c r="N284" s="2"/>
      <c r="O284" s="2"/>
      <c r="P284" s="2"/>
      <c r="Q284" s="16"/>
      <c r="R284" s="16"/>
      <c r="S284" s="17"/>
    </row>
    <row r="285" spans="1:19" ht="20.100000000000001" customHeight="1" x14ac:dyDescent="0.3">
      <c r="A285" s="2"/>
      <c r="B285" s="2"/>
      <c r="C285" s="2"/>
      <c r="D285" s="2"/>
      <c r="E285" s="2"/>
      <c r="F285" s="2"/>
      <c r="G285" s="2"/>
      <c r="H285" s="2"/>
      <c r="I285" s="2"/>
      <c r="J285" s="2"/>
      <c r="K285" s="3"/>
      <c r="L285" s="2"/>
      <c r="M285" s="2"/>
      <c r="N285" s="2"/>
      <c r="O285" s="2"/>
      <c r="P285" s="2"/>
      <c r="Q285" s="16"/>
      <c r="R285" s="16"/>
      <c r="S285" s="17"/>
    </row>
    <row r="286" spans="1:19" ht="20.100000000000001" customHeight="1" x14ac:dyDescent="0.3">
      <c r="A286" s="2"/>
      <c r="B286" s="2"/>
      <c r="C286" s="2"/>
      <c r="D286" s="2"/>
      <c r="E286" s="2"/>
      <c r="F286" s="2"/>
      <c r="G286" s="2"/>
      <c r="H286" s="2"/>
      <c r="I286" s="2"/>
      <c r="J286" s="2"/>
      <c r="K286" s="3"/>
      <c r="L286" s="2"/>
      <c r="M286" s="2"/>
      <c r="N286" s="2"/>
      <c r="O286" s="2"/>
      <c r="P286" s="2"/>
      <c r="Q286" s="16"/>
      <c r="R286" s="16"/>
      <c r="S286" s="17"/>
    </row>
    <row r="287" spans="1:19" ht="20.100000000000001" customHeight="1" x14ac:dyDescent="0.3">
      <c r="A287" s="2"/>
      <c r="B287" s="2"/>
      <c r="C287" s="2"/>
      <c r="D287" s="2"/>
      <c r="E287" s="2"/>
      <c r="F287" s="2"/>
      <c r="G287" s="2"/>
      <c r="H287" s="2"/>
      <c r="I287" s="2"/>
      <c r="J287" s="2"/>
      <c r="K287" s="3"/>
      <c r="L287" s="2"/>
      <c r="M287" s="2"/>
      <c r="N287" s="2"/>
      <c r="O287" s="2"/>
      <c r="P287" s="2"/>
      <c r="Q287" s="16"/>
      <c r="R287" s="16"/>
      <c r="S287" s="17"/>
    </row>
    <row r="288" spans="1:19" ht="20.100000000000001" customHeight="1" x14ac:dyDescent="0.3">
      <c r="A288" s="2"/>
      <c r="B288" s="2"/>
      <c r="C288" s="2"/>
      <c r="D288" s="2"/>
      <c r="E288" s="2"/>
      <c r="F288" s="2"/>
      <c r="G288" s="2"/>
      <c r="H288" s="2"/>
      <c r="I288" s="2"/>
      <c r="J288" s="2"/>
      <c r="K288" s="3"/>
      <c r="L288" s="2"/>
      <c r="M288" s="2"/>
      <c r="N288" s="2"/>
      <c r="O288" s="2"/>
      <c r="P288" s="2"/>
      <c r="Q288" s="16"/>
      <c r="R288" s="16"/>
      <c r="S288" s="17"/>
    </row>
    <row r="289" spans="1:19" ht="20.100000000000001" customHeight="1" x14ac:dyDescent="0.3">
      <c r="A289" s="2"/>
      <c r="B289" s="2"/>
      <c r="C289" s="2"/>
      <c r="D289" s="2"/>
      <c r="E289" s="2"/>
      <c r="F289" s="2"/>
      <c r="G289" s="2"/>
      <c r="H289" s="2"/>
      <c r="I289" s="2"/>
      <c r="J289" s="2"/>
      <c r="K289" s="3"/>
      <c r="L289" s="2"/>
      <c r="M289" s="2"/>
      <c r="N289" s="2"/>
      <c r="O289" s="2"/>
      <c r="P289" s="2"/>
      <c r="Q289" s="16"/>
      <c r="R289" s="16"/>
      <c r="S289" s="17"/>
    </row>
    <row r="290" spans="1:19" ht="20.100000000000001" customHeight="1" x14ac:dyDescent="0.3">
      <c r="A290" s="2"/>
      <c r="B290" s="2"/>
      <c r="C290" s="2"/>
      <c r="D290" s="2"/>
      <c r="E290" s="2"/>
      <c r="F290" s="2"/>
      <c r="G290" s="2"/>
      <c r="H290" s="2"/>
      <c r="I290" s="2"/>
      <c r="J290" s="2"/>
      <c r="K290" s="3"/>
      <c r="L290" s="2"/>
      <c r="M290" s="2"/>
      <c r="N290" s="2"/>
      <c r="O290" s="2"/>
      <c r="P290" s="2"/>
      <c r="Q290" s="16"/>
      <c r="R290" s="16"/>
      <c r="S290" s="17"/>
    </row>
    <row r="291" spans="1:19" ht="20.100000000000001" customHeight="1" x14ac:dyDescent="0.3">
      <c r="A291" s="2"/>
      <c r="B291" s="2"/>
      <c r="C291" s="2"/>
      <c r="D291" s="2"/>
      <c r="E291" s="2"/>
      <c r="F291" s="2"/>
      <c r="G291" s="2"/>
      <c r="H291" s="2"/>
      <c r="I291" s="2"/>
      <c r="J291" s="2"/>
      <c r="K291" s="3"/>
      <c r="L291" s="2"/>
      <c r="M291" s="2"/>
      <c r="N291" s="2"/>
      <c r="O291" s="2"/>
      <c r="P291" s="2"/>
      <c r="Q291" s="16"/>
      <c r="R291" s="16"/>
      <c r="S291" s="17"/>
    </row>
    <row r="292" spans="1:19" ht="20.100000000000001" customHeight="1" x14ac:dyDescent="0.3">
      <c r="A292" s="2"/>
      <c r="B292" s="2"/>
      <c r="C292" s="2"/>
      <c r="D292" s="2"/>
      <c r="E292" s="2"/>
      <c r="F292" s="2"/>
      <c r="G292" s="2"/>
      <c r="H292" s="2"/>
      <c r="I292" s="2"/>
      <c r="J292" s="2"/>
      <c r="K292" s="3"/>
      <c r="L292" s="2"/>
      <c r="M292" s="2"/>
      <c r="N292" s="2"/>
      <c r="O292" s="2"/>
      <c r="P292" s="2"/>
      <c r="Q292" s="16"/>
      <c r="R292" s="16"/>
      <c r="S292" s="17"/>
    </row>
    <row r="293" spans="1:19" ht="20.100000000000001" customHeight="1" x14ac:dyDescent="0.3">
      <c r="A293" s="2"/>
      <c r="B293" s="2"/>
      <c r="C293" s="2"/>
      <c r="D293" s="2"/>
      <c r="E293" s="2"/>
      <c r="F293" s="2"/>
      <c r="G293" s="2"/>
      <c r="H293" s="2"/>
      <c r="I293" s="2"/>
      <c r="J293" s="2"/>
      <c r="K293" s="3"/>
      <c r="L293" s="2"/>
      <c r="M293" s="2"/>
      <c r="N293" s="2"/>
      <c r="O293" s="2"/>
      <c r="P293" s="2"/>
      <c r="Q293" s="16"/>
      <c r="R293" s="16"/>
      <c r="S293" s="17"/>
    </row>
    <row r="294" spans="1:19" ht="20.100000000000001" customHeight="1" x14ac:dyDescent="0.3">
      <c r="S294" s="17"/>
    </row>
    <row r="295" spans="1:19" ht="20.100000000000001" customHeight="1" x14ac:dyDescent="0.3">
      <c r="S295" s="17"/>
    </row>
    <row r="296" spans="1:19" ht="20.100000000000001" customHeight="1" x14ac:dyDescent="0.3">
      <c r="S296" s="17"/>
    </row>
    <row r="297" spans="1:19" ht="20.100000000000001" customHeight="1" x14ac:dyDescent="0.3">
      <c r="S297" s="17"/>
    </row>
    <row r="298" spans="1:19" ht="20.100000000000001" customHeight="1" x14ac:dyDescent="0.3">
      <c r="S298" s="17"/>
    </row>
    <row r="299" spans="1:19" ht="20.100000000000001" customHeight="1" x14ac:dyDescent="0.3">
      <c r="S299" s="17"/>
    </row>
    <row r="300" spans="1:19" ht="20.100000000000001" customHeight="1" x14ac:dyDescent="0.3">
      <c r="S300" s="17"/>
    </row>
    <row r="301" spans="1:19" ht="20.100000000000001" customHeight="1" x14ac:dyDescent="0.3">
      <c r="S301" s="17"/>
    </row>
    <row r="302" spans="1:19" ht="20.100000000000001" customHeight="1" x14ac:dyDescent="0.3">
      <c r="S302" s="17"/>
    </row>
    <row r="303" spans="1:19" ht="20.100000000000001" customHeight="1" x14ac:dyDescent="0.3">
      <c r="S303" s="17"/>
    </row>
    <row r="304" spans="1:19" ht="20.100000000000001" customHeight="1" x14ac:dyDescent="0.3">
      <c r="S304" s="17"/>
    </row>
    <row r="305" spans="19:19" ht="20.100000000000001" customHeight="1" x14ac:dyDescent="0.3">
      <c r="S305" s="17"/>
    </row>
    <row r="306" spans="19:19" ht="20.100000000000001" customHeight="1" x14ac:dyDescent="0.3">
      <c r="S306" s="17"/>
    </row>
    <row r="307" spans="19:19" ht="20.100000000000001" customHeight="1" x14ac:dyDescent="0.3">
      <c r="S307" s="17"/>
    </row>
    <row r="308" spans="19:19" ht="20.100000000000001" customHeight="1" x14ac:dyDescent="0.3">
      <c r="S308" s="17"/>
    </row>
    <row r="309" spans="19:19" ht="20.100000000000001" customHeight="1" x14ac:dyDescent="0.3">
      <c r="S309" s="17"/>
    </row>
    <row r="310" spans="19:19" ht="20.100000000000001" customHeight="1" x14ac:dyDescent="0.3">
      <c r="S310" s="17"/>
    </row>
    <row r="311" spans="19:19" ht="20.100000000000001" customHeight="1" x14ac:dyDescent="0.3">
      <c r="S311" s="17"/>
    </row>
    <row r="312" spans="19:19" ht="20.100000000000001" customHeight="1" x14ac:dyDescent="0.3">
      <c r="S312" s="17"/>
    </row>
    <row r="313" spans="19:19" ht="20.100000000000001" customHeight="1" x14ac:dyDescent="0.3">
      <c r="S313" s="17"/>
    </row>
    <row r="314" spans="19:19" ht="20.100000000000001" customHeight="1" x14ac:dyDescent="0.3">
      <c r="S314" s="17"/>
    </row>
    <row r="315" spans="19:19" ht="20.100000000000001" customHeight="1" x14ac:dyDescent="0.3">
      <c r="S315" s="17"/>
    </row>
    <row r="316" spans="19:19" ht="20.100000000000001" customHeight="1" x14ac:dyDescent="0.3">
      <c r="S316" s="17"/>
    </row>
    <row r="317" spans="19:19" ht="20.100000000000001" customHeight="1" x14ac:dyDescent="0.3">
      <c r="S317" s="17"/>
    </row>
    <row r="318" spans="19:19" ht="20.100000000000001" customHeight="1" x14ac:dyDescent="0.3">
      <c r="S318" s="17"/>
    </row>
    <row r="319" spans="19:19" ht="20.100000000000001" customHeight="1" x14ac:dyDescent="0.3">
      <c r="S319" s="17"/>
    </row>
    <row r="320" spans="19:19" ht="20.100000000000001" customHeight="1" x14ac:dyDescent="0.3">
      <c r="S320" s="17"/>
    </row>
    <row r="321" spans="19:19" ht="20.100000000000001" customHeight="1" x14ac:dyDescent="0.3">
      <c r="S321" s="17"/>
    </row>
    <row r="322" spans="19:19" ht="20.100000000000001" customHeight="1" x14ac:dyDescent="0.3">
      <c r="S322" s="17"/>
    </row>
    <row r="323" spans="19:19" ht="20.100000000000001" customHeight="1" x14ac:dyDescent="0.3">
      <c r="S323" s="17"/>
    </row>
    <row r="324" spans="19:19" ht="20.100000000000001" customHeight="1" x14ac:dyDescent="0.3">
      <c r="S324" s="17"/>
    </row>
    <row r="325" spans="19:19" ht="20.100000000000001" customHeight="1" x14ac:dyDescent="0.3">
      <c r="S325" s="17"/>
    </row>
    <row r="326" spans="19:19" ht="20.100000000000001" customHeight="1" x14ac:dyDescent="0.3">
      <c r="S326" s="17"/>
    </row>
    <row r="327" spans="19:19" ht="20.100000000000001" customHeight="1" x14ac:dyDescent="0.3">
      <c r="S327" s="17"/>
    </row>
    <row r="328" spans="19:19" ht="20.100000000000001" customHeight="1" x14ac:dyDescent="0.3">
      <c r="S328" s="17"/>
    </row>
    <row r="329" spans="19:19" ht="20.100000000000001" customHeight="1" x14ac:dyDescent="0.3">
      <c r="S329" s="17"/>
    </row>
    <row r="330" spans="19:19" ht="20.100000000000001" customHeight="1" x14ac:dyDescent="0.3">
      <c r="S330" s="17"/>
    </row>
    <row r="331" spans="19:19" ht="20.100000000000001" customHeight="1" x14ac:dyDescent="0.3">
      <c r="S331" s="17"/>
    </row>
    <row r="332" spans="19:19" ht="20.100000000000001" customHeight="1" x14ac:dyDescent="0.3">
      <c r="S332" s="17"/>
    </row>
    <row r="333" spans="19:19" ht="20.100000000000001" customHeight="1" x14ac:dyDescent="0.3">
      <c r="S333" s="17"/>
    </row>
    <row r="334" spans="19:19" ht="20.100000000000001" customHeight="1" x14ac:dyDescent="0.3">
      <c r="S334" s="17"/>
    </row>
    <row r="335" spans="19:19" ht="20.100000000000001" customHeight="1" x14ac:dyDescent="0.3">
      <c r="S335" s="17"/>
    </row>
    <row r="336" spans="19:19" ht="20.100000000000001" customHeight="1" x14ac:dyDescent="0.3">
      <c r="S336" s="17"/>
    </row>
    <row r="337" spans="19:19" ht="20.100000000000001" customHeight="1" x14ac:dyDescent="0.3">
      <c r="S337" s="17"/>
    </row>
    <row r="338" spans="19:19" ht="20.100000000000001" customHeight="1" x14ac:dyDescent="0.3">
      <c r="S338" s="17"/>
    </row>
    <row r="339" spans="19:19" ht="20.100000000000001" customHeight="1" x14ac:dyDescent="0.3">
      <c r="S339" s="17"/>
    </row>
    <row r="340" spans="19:19" ht="20.100000000000001" customHeight="1" x14ac:dyDescent="0.3">
      <c r="S340" s="17"/>
    </row>
    <row r="341" spans="19:19" ht="20.100000000000001" customHeight="1" x14ac:dyDescent="0.3">
      <c r="S341" s="17"/>
    </row>
    <row r="342" spans="19:19" ht="20.100000000000001" customHeight="1" x14ac:dyDescent="0.3">
      <c r="S342" s="17"/>
    </row>
    <row r="343" spans="19:19" ht="20.100000000000001" customHeight="1" x14ac:dyDescent="0.3">
      <c r="S343" s="17"/>
    </row>
    <row r="344" spans="19:19" ht="20.100000000000001" customHeight="1" x14ac:dyDescent="0.3">
      <c r="S344" s="17"/>
    </row>
    <row r="345" spans="19:19" ht="20.100000000000001" customHeight="1" x14ac:dyDescent="0.3">
      <c r="S345" s="17"/>
    </row>
    <row r="346" spans="19:19" ht="20.100000000000001" customHeight="1" x14ac:dyDescent="0.3">
      <c r="S346" s="17"/>
    </row>
    <row r="347" spans="19:19" ht="20.100000000000001" customHeight="1" x14ac:dyDescent="0.3">
      <c r="S347" s="17"/>
    </row>
    <row r="348" spans="19:19" ht="20.100000000000001" customHeight="1" x14ac:dyDescent="0.3">
      <c r="S348" s="17"/>
    </row>
    <row r="349" spans="19:19" ht="20.100000000000001" customHeight="1" x14ac:dyDescent="0.3">
      <c r="S349" s="17"/>
    </row>
    <row r="350" spans="19:19" ht="20.100000000000001" customHeight="1" x14ac:dyDescent="0.3">
      <c r="S350" s="17"/>
    </row>
    <row r="351" spans="19:19" ht="20.100000000000001" customHeight="1" x14ac:dyDescent="0.3">
      <c r="S351" s="17"/>
    </row>
    <row r="352" spans="19:19" ht="20.100000000000001" customHeight="1" x14ac:dyDescent="0.3">
      <c r="S352" s="17"/>
    </row>
    <row r="353" spans="19:19" ht="20.100000000000001" customHeight="1" x14ac:dyDescent="0.3">
      <c r="S353" s="17"/>
    </row>
    <row r="354" spans="19:19" ht="20.100000000000001" customHeight="1" x14ac:dyDescent="0.3">
      <c r="S354" s="17"/>
    </row>
    <row r="355" spans="19:19" ht="20.100000000000001" customHeight="1" x14ac:dyDescent="0.3">
      <c r="S355" s="17"/>
    </row>
    <row r="356" spans="19:19" ht="20.100000000000001" customHeight="1" x14ac:dyDescent="0.3">
      <c r="S356" s="17"/>
    </row>
    <row r="357" spans="19:19" ht="20.100000000000001" customHeight="1" x14ac:dyDescent="0.3">
      <c r="S357" s="17"/>
    </row>
    <row r="358" spans="19:19" ht="20.100000000000001" customHeight="1" x14ac:dyDescent="0.3">
      <c r="S358" s="17"/>
    </row>
    <row r="359" spans="19:19" ht="20.100000000000001" customHeight="1" x14ac:dyDescent="0.3">
      <c r="S359" s="17"/>
    </row>
    <row r="360" spans="19:19" ht="20.100000000000001" customHeight="1" x14ac:dyDescent="0.3">
      <c r="S360" s="17"/>
    </row>
    <row r="361" spans="19:19" ht="20.100000000000001" customHeight="1" x14ac:dyDescent="0.3">
      <c r="S361" s="17"/>
    </row>
    <row r="362" spans="19:19" ht="20.100000000000001" customHeight="1" x14ac:dyDescent="0.3">
      <c r="S362" s="17"/>
    </row>
    <row r="363" spans="19:19" ht="20.100000000000001" customHeight="1" x14ac:dyDescent="0.3">
      <c r="S363" s="17"/>
    </row>
    <row r="364" spans="19:19" ht="20.100000000000001" customHeight="1" x14ac:dyDescent="0.3">
      <c r="S364" s="17"/>
    </row>
    <row r="365" spans="19:19" ht="20.100000000000001" customHeight="1" x14ac:dyDescent="0.3">
      <c r="S365" s="17"/>
    </row>
    <row r="366" spans="19:19" ht="20.100000000000001" customHeight="1" x14ac:dyDescent="0.3">
      <c r="S366" s="17"/>
    </row>
    <row r="367" spans="19:19" ht="20.100000000000001" customHeight="1" x14ac:dyDescent="0.3">
      <c r="S367" s="17"/>
    </row>
    <row r="368" spans="19:19" ht="20.100000000000001" customHeight="1" x14ac:dyDescent="0.3">
      <c r="S368" s="17"/>
    </row>
    <row r="369" spans="19:19" ht="20.100000000000001" customHeight="1" x14ac:dyDescent="0.3">
      <c r="S369" s="17"/>
    </row>
    <row r="370" spans="19:19" ht="20.100000000000001" customHeight="1" x14ac:dyDescent="0.3">
      <c r="S370" s="17"/>
    </row>
    <row r="371" spans="19:19" ht="20.100000000000001" customHeight="1" x14ac:dyDescent="0.3">
      <c r="S371" s="17"/>
    </row>
    <row r="372" spans="19:19" ht="20.100000000000001" customHeight="1" x14ac:dyDescent="0.3">
      <c r="S372" s="17"/>
    </row>
    <row r="373" spans="19:19" ht="20.100000000000001" customHeight="1" x14ac:dyDescent="0.3">
      <c r="S373" s="17"/>
    </row>
    <row r="374" spans="19:19" ht="20.100000000000001" customHeight="1" x14ac:dyDescent="0.3">
      <c r="S374" s="17"/>
    </row>
    <row r="375" spans="19:19" ht="20.100000000000001" customHeight="1" x14ac:dyDescent="0.3">
      <c r="S375" s="17"/>
    </row>
    <row r="376" spans="19:19" ht="20.100000000000001" customHeight="1" x14ac:dyDescent="0.3">
      <c r="S376" s="17"/>
    </row>
    <row r="377" spans="19:19" ht="20.100000000000001" customHeight="1" x14ac:dyDescent="0.3">
      <c r="S377" s="17"/>
    </row>
    <row r="378" spans="19:19" ht="20.100000000000001" customHeight="1" x14ac:dyDescent="0.3">
      <c r="S378" s="17"/>
    </row>
    <row r="379" spans="19:19" ht="20.100000000000001" customHeight="1" x14ac:dyDescent="0.3">
      <c r="S379" s="17"/>
    </row>
    <row r="380" spans="19:19" ht="20.100000000000001" customHeight="1" x14ac:dyDescent="0.3">
      <c r="S380" s="17"/>
    </row>
    <row r="381" spans="19:19" ht="20.100000000000001" customHeight="1" x14ac:dyDescent="0.3">
      <c r="S381" s="17"/>
    </row>
    <row r="382" spans="19:19" ht="20.100000000000001" customHeight="1" x14ac:dyDescent="0.3">
      <c r="S382" s="17"/>
    </row>
    <row r="383" spans="19:19" ht="20.100000000000001" customHeight="1" x14ac:dyDescent="0.3">
      <c r="S383" s="17"/>
    </row>
    <row r="384" spans="19:19" ht="20.100000000000001" customHeight="1" x14ac:dyDescent="0.3">
      <c r="S384" s="17"/>
    </row>
    <row r="385" spans="19:19" ht="20.100000000000001" customHeight="1" x14ac:dyDescent="0.3">
      <c r="S385" s="17"/>
    </row>
    <row r="386" spans="19:19" ht="20.100000000000001" customHeight="1" x14ac:dyDescent="0.3">
      <c r="S386" s="17"/>
    </row>
    <row r="387" spans="19:19" ht="20.100000000000001" customHeight="1" x14ac:dyDescent="0.3">
      <c r="S387" s="17"/>
    </row>
    <row r="388" spans="19:19" ht="20.100000000000001" customHeight="1" x14ac:dyDescent="0.3">
      <c r="S388" s="17"/>
    </row>
    <row r="389" spans="19:19" ht="20.100000000000001" customHeight="1" x14ac:dyDescent="0.3">
      <c r="S389" s="17"/>
    </row>
    <row r="390" spans="19:19" ht="20.100000000000001" customHeight="1" x14ac:dyDescent="0.3">
      <c r="S390" s="17"/>
    </row>
    <row r="391" spans="19:19" ht="20.100000000000001" customHeight="1" x14ac:dyDescent="0.3">
      <c r="S391" s="17"/>
    </row>
    <row r="392" spans="19:19" ht="20.100000000000001" customHeight="1" x14ac:dyDescent="0.3">
      <c r="S392" s="17"/>
    </row>
    <row r="393" spans="19:19" ht="20.100000000000001" customHeight="1" x14ac:dyDescent="0.3">
      <c r="S393" s="17"/>
    </row>
    <row r="394" spans="19:19" ht="20.100000000000001" customHeight="1" x14ac:dyDescent="0.3">
      <c r="S394" s="17"/>
    </row>
    <row r="395" spans="19:19" ht="20.100000000000001" customHeight="1" x14ac:dyDescent="0.3">
      <c r="S395" s="17"/>
    </row>
    <row r="396" spans="19:19" ht="20.100000000000001" customHeight="1" x14ac:dyDescent="0.3">
      <c r="S396" s="17"/>
    </row>
    <row r="397" spans="19:19" ht="20.100000000000001" customHeight="1" x14ac:dyDescent="0.3">
      <c r="S397" s="17"/>
    </row>
    <row r="398" spans="19:19" ht="20.100000000000001" customHeight="1" x14ac:dyDescent="0.3">
      <c r="S398" s="17"/>
    </row>
    <row r="399" spans="19:19" ht="20.100000000000001" customHeight="1" x14ac:dyDescent="0.3">
      <c r="S399" s="17"/>
    </row>
    <row r="400" spans="19:19" ht="20.100000000000001" customHeight="1" x14ac:dyDescent="0.3">
      <c r="S400" s="17"/>
    </row>
    <row r="401" spans="19:19" ht="20.100000000000001" customHeight="1" x14ac:dyDescent="0.3">
      <c r="S401" s="17"/>
    </row>
    <row r="402" spans="19:19" ht="20.100000000000001" customHeight="1" x14ac:dyDescent="0.3">
      <c r="S402" s="17"/>
    </row>
    <row r="403" spans="19:19" ht="20.100000000000001" customHeight="1" x14ac:dyDescent="0.3">
      <c r="S403" s="17"/>
    </row>
    <row r="404" spans="19:19" ht="20.100000000000001" customHeight="1" x14ac:dyDescent="0.3">
      <c r="S404" s="17"/>
    </row>
    <row r="405" spans="19:19" ht="20.100000000000001" customHeight="1" x14ac:dyDescent="0.3">
      <c r="S405" s="17"/>
    </row>
    <row r="406" spans="19:19" ht="20.100000000000001" customHeight="1" x14ac:dyDescent="0.3">
      <c r="S406" s="17"/>
    </row>
    <row r="407" spans="19:19" ht="20.100000000000001" customHeight="1" x14ac:dyDescent="0.3">
      <c r="S407" s="17"/>
    </row>
    <row r="408" spans="19:19" ht="20.100000000000001" customHeight="1" x14ac:dyDescent="0.3">
      <c r="S408" s="17"/>
    </row>
    <row r="409" spans="19:19" ht="20.100000000000001" customHeight="1" x14ac:dyDescent="0.3">
      <c r="S409" s="17"/>
    </row>
    <row r="410" spans="19:19" ht="20.100000000000001" customHeight="1" x14ac:dyDescent="0.3">
      <c r="S410" s="17"/>
    </row>
    <row r="411" spans="19:19" ht="20.100000000000001" customHeight="1" x14ac:dyDescent="0.3">
      <c r="S411" s="17"/>
    </row>
    <row r="412" spans="19:19" ht="20.100000000000001" customHeight="1" x14ac:dyDescent="0.3">
      <c r="S412" s="17"/>
    </row>
    <row r="413" spans="19:19" ht="20.100000000000001" customHeight="1" x14ac:dyDescent="0.3">
      <c r="S413" s="17"/>
    </row>
    <row r="414" spans="19:19" ht="20.100000000000001" customHeight="1" x14ac:dyDescent="0.3">
      <c r="S414" s="17"/>
    </row>
    <row r="415" spans="19:19" ht="20.100000000000001" customHeight="1" x14ac:dyDescent="0.3">
      <c r="S415" s="17"/>
    </row>
    <row r="416" spans="19:19" ht="20.100000000000001" customHeight="1" x14ac:dyDescent="0.3">
      <c r="S416" s="17"/>
    </row>
    <row r="417" spans="19:19" ht="20.100000000000001" customHeight="1" x14ac:dyDescent="0.3">
      <c r="S417" s="17"/>
    </row>
    <row r="418" spans="19:19" ht="20.100000000000001" customHeight="1" x14ac:dyDescent="0.3">
      <c r="S418" s="17"/>
    </row>
    <row r="419" spans="19:19" ht="20.100000000000001" customHeight="1" x14ac:dyDescent="0.3">
      <c r="S419" s="17"/>
    </row>
    <row r="420" spans="19:19" ht="20.100000000000001" customHeight="1" x14ac:dyDescent="0.3">
      <c r="S420" s="17"/>
    </row>
    <row r="421" spans="19:19" ht="20.100000000000001" customHeight="1" x14ac:dyDescent="0.3">
      <c r="S421" s="17"/>
    </row>
    <row r="422" spans="19:19" ht="20.100000000000001" customHeight="1" x14ac:dyDescent="0.3">
      <c r="S422" s="17"/>
    </row>
    <row r="423" spans="19:19" ht="20.100000000000001" customHeight="1" x14ac:dyDescent="0.3">
      <c r="S423" s="17"/>
    </row>
    <row r="424" spans="19:19" ht="20.100000000000001" customHeight="1" x14ac:dyDescent="0.3">
      <c r="S424" s="17"/>
    </row>
    <row r="425" spans="19:19" ht="20.100000000000001" customHeight="1" x14ac:dyDescent="0.3">
      <c r="S425" s="17"/>
    </row>
    <row r="426" spans="19:19" ht="20.100000000000001" customHeight="1" x14ac:dyDescent="0.3">
      <c r="S426" s="17"/>
    </row>
    <row r="427" spans="19:19" ht="20.100000000000001" customHeight="1" x14ac:dyDescent="0.3">
      <c r="S427" s="17"/>
    </row>
    <row r="428" spans="19:19" ht="20.100000000000001" customHeight="1" x14ac:dyDescent="0.3">
      <c r="S428" s="17"/>
    </row>
    <row r="429" spans="19:19" ht="20.100000000000001" customHeight="1" x14ac:dyDescent="0.3">
      <c r="S429" s="17"/>
    </row>
    <row r="430" spans="19:19" ht="20.100000000000001" customHeight="1" x14ac:dyDescent="0.3">
      <c r="S430" s="17"/>
    </row>
    <row r="431" spans="19:19" ht="20.100000000000001" customHeight="1" x14ac:dyDescent="0.3">
      <c r="S431" s="17"/>
    </row>
    <row r="432" spans="19:19" ht="20.100000000000001" customHeight="1" x14ac:dyDescent="0.3">
      <c r="S432" s="17"/>
    </row>
    <row r="433" spans="19:19" ht="20.100000000000001" customHeight="1" x14ac:dyDescent="0.3">
      <c r="S433" s="17"/>
    </row>
    <row r="434" spans="19:19" ht="20.100000000000001" customHeight="1" x14ac:dyDescent="0.3">
      <c r="S434" s="17"/>
    </row>
    <row r="435" spans="19:19" ht="20.100000000000001" customHeight="1" x14ac:dyDescent="0.3">
      <c r="S435" s="17"/>
    </row>
    <row r="436" spans="19:19" ht="20.100000000000001" customHeight="1" x14ac:dyDescent="0.3">
      <c r="S436" s="17"/>
    </row>
    <row r="437" spans="19:19" ht="20.100000000000001" customHeight="1" x14ac:dyDescent="0.3">
      <c r="S437" s="17"/>
    </row>
    <row r="438" spans="19:19" ht="20.100000000000001" customHeight="1" x14ac:dyDescent="0.3">
      <c r="S438" s="17"/>
    </row>
    <row r="439" spans="19:19" ht="20.100000000000001" customHeight="1" x14ac:dyDescent="0.3">
      <c r="S439" s="17"/>
    </row>
    <row r="440" spans="19:19" ht="20.100000000000001" customHeight="1" x14ac:dyDescent="0.3">
      <c r="S440" s="17"/>
    </row>
    <row r="441" spans="19:19" ht="20.100000000000001" customHeight="1" x14ac:dyDescent="0.3">
      <c r="S441" s="17"/>
    </row>
    <row r="442" spans="19:19" ht="20.100000000000001" customHeight="1" x14ac:dyDescent="0.3">
      <c r="S442" s="17"/>
    </row>
    <row r="443" spans="19:19" ht="20.100000000000001" customHeight="1" x14ac:dyDescent="0.3">
      <c r="S443" s="17"/>
    </row>
    <row r="444" spans="19:19" ht="20.100000000000001" customHeight="1" x14ac:dyDescent="0.3">
      <c r="S444" s="17"/>
    </row>
    <row r="445" spans="19:19" ht="20.100000000000001" customHeight="1" x14ac:dyDescent="0.3">
      <c r="S445" s="17"/>
    </row>
    <row r="446" spans="19:19" ht="20.100000000000001" customHeight="1" x14ac:dyDescent="0.3">
      <c r="S446" s="17"/>
    </row>
    <row r="447" spans="19:19" ht="20.100000000000001" customHeight="1" x14ac:dyDescent="0.3">
      <c r="S447" s="17"/>
    </row>
    <row r="448" spans="19:19" ht="20.100000000000001" customHeight="1" x14ac:dyDescent="0.3">
      <c r="S448" s="17"/>
    </row>
    <row r="449" spans="19:19" ht="20.100000000000001" customHeight="1" x14ac:dyDescent="0.3">
      <c r="S449" s="17"/>
    </row>
    <row r="450" spans="19:19" ht="20.100000000000001" customHeight="1" x14ac:dyDescent="0.3">
      <c r="S450" s="17"/>
    </row>
    <row r="451" spans="19:19" ht="20.100000000000001" customHeight="1" x14ac:dyDescent="0.3">
      <c r="S451" s="17"/>
    </row>
    <row r="452" spans="19:19" ht="20.100000000000001" customHeight="1" x14ac:dyDescent="0.3">
      <c r="S452" s="17"/>
    </row>
    <row r="453" spans="19:19" ht="20.100000000000001" customHeight="1" x14ac:dyDescent="0.3">
      <c r="S453" s="17"/>
    </row>
    <row r="454" spans="19:19" ht="20.100000000000001" customHeight="1" x14ac:dyDescent="0.3">
      <c r="S454" s="17"/>
    </row>
    <row r="455" spans="19:19" ht="20.100000000000001" customHeight="1" x14ac:dyDescent="0.3">
      <c r="S455" s="17"/>
    </row>
    <row r="456" spans="19:19" ht="20.100000000000001" customHeight="1" x14ac:dyDescent="0.3">
      <c r="S456" s="17"/>
    </row>
    <row r="457" spans="19:19" ht="20.100000000000001" customHeight="1" x14ac:dyDescent="0.3">
      <c r="S457" s="17"/>
    </row>
    <row r="458" spans="19:19" ht="20.100000000000001" customHeight="1" x14ac:dyDescent="0.3">
      <c r="S458" s="17"/>
    </row>
    <row r="459" spans="19:19" ht="20.100000000000001" customHeight="1" x14ac:dyDescent="0.3">
      <c r="S459" s="17"/>
    </row>
    <row r="460" spans="19:19" ht="20.100000000000001" customHeight="1" x14ac:dyDescent="0.3">
      <c r="S460" s="17"/>
    </row>
    <row r="461" spans="19:19" ht="20.100000000000001" customHeight="1" x14ac:dyDescent="0.3">
      <c r="S461" s="17"/>
    </row>
    <row r="462" spans="19:19" ht="20.100000000000001" customHeight="1" x14ac:dyDescent="0.3">
      <c r="S462" s="17"/>
    </row>
    <row r="463" spans="19:19" ht="20.100000000000001" customHeight="1" x14ac:dyDescent="0.3">
      <c r="S463" s="17"/>
    </row>
    <row r="464" spans="19:19" ht="20.100000000000001" customHeight="1" x14ac:dyDescent="0.3">
      <c r="S464" s="17"/>
    </row>
    <row r="465" spans="19:19" ht="20.100000000000001" customHeight="1" x14ac:dyDescent="0.3">
      <c r="S465" s="17"/>
    </row>
    <row r="466" spans="19:19" ht="20.100000000000001" customHeight="1" x14ac:dyDescent="0.3">
      <c r="S466" s="17"/>
    </row>
    <row r="467" spans="19:19" ht="20.100000000000001" customHeight="1" x14ac:dyDescent="0.3">
      <c r="S467" s="17"/>
    </row>
    <row r="468" spans="19:19" ht="20.100000000000001" customHeight="1" x14ac:dyDescent="0.3">
      <c r="S468" s="17"/>
    </row>
    <row r="469" spans="19:19" ht="20.100000000000001" customHeight="1" x14ac:dyDescent="0.3">
      <c r="S469" s="17"/>
    </row>
    <row r="470" spans="19:19" ht="20.100000000000001" customHeight="1" x14ac:dyDescent="0.3">
      <c r="S470" s="17"/>
    </row>
    <row r="471" spans="19:19" ht="20.100000000000001" customHeight="1" x14ac:dyDescent="0.3">
      <c r="S471" s="17"/>
    </row>
    <row r="472" spans="19:19" ht="20.100000000000001" customHeight="1" x14ac:dyDescent="0.3">
      <c r="S472" s="17"/>
    </row>
    <row r="473" spans="19:19" ht="20.100000000000001" customHeight="1" x14ac:dyDescent="0.3">
      <c r="S473" s="17"/>
    </row>
    <row r="474" spans="19:19" ht="20.100000000000001" customHeight="1" x14ac:dyDescent="0.3">
      <c r="S474" s="17"/>
    </row>
    <row r="475" spans="19:19" ht="20.100000000000001" customHeight="1" x14ac:dyDescent="0.3">
      <c r="S475" s="17"/>
    </row>
    <row r="476" spans="19:19" ht="20.100000000000001" customHeight="1" x14ac:dyDescent="0.3">
      <c r="S476" s="17"/>
    </row>
    <row r="477" spans="19:19" ht="20.100000000000001" customHeight="1" x14ac:dyDescent="0.3">
      <c r="S477" s="17"/>
    </row>
    <row r="478" spans="19:19" ht="20.100000000000001" customHeight="1" x14ac:dyDescent="0.3">
      <c r="S478" s="17"/>
    </row>
    <row r="479" spans="19:19" ht="20.100000000000001" customHeight="1" x14ac:dyDescent="0.3">
      <c r="S479" s="17"/>
    </row>
    <row r="480" spans="19:19" ht="20.100000000000001" customHeight="1" x14ac:dyDescent="0.3">
      <c r="S480" s="17"/>
    </row>
    <row r="481" spans="19:19" ht="20.100000000000001" customHeight="1" x14ac:dyDescent="0.3">
      <c r="S481" s="17"/>
    </row>
    <row r="482" spans="19:19" ht="20.100000000000001" customHeight="1" x14ac:dyDescent="0.3">
      <c r="S482" s="17"/>
    </row>
    <row r="483" spans="19:19" ht="20.100000000000001" customHeight="1" x14ac:dyDescent="0.3">
      <c r="S483" s="17"/>
    </row>
    <row r="484" spans="19:19" ht="20.100000000000001" customHeight="1" x14ac:dyDescent="0.3">
      <c r="S484" s="17"/>
    </row>
    <row r="485" spans="19:19" ht="20.100000000000001" customHeight="1" x14ac:dyDescent="0.3">
      <c r="S485" s="17"/>
    </row>
    <row r="486" spans="19:19" ht="20.100000000000001" customHeight="1" x14ac:dyDescent="0.3">
      <c r="S486" s="17"/>
    </row>
    <row r="487" spans="19:19" ht="20.100000000000001" customHeight="1" x14ac:dyDescent="0.3">
      <c r="S487" s="17"/>
    </row>
    <row r="488" spans="19:19" ht="20.100000000000001" customHeight="1" x14ac:dyDescent="0.3">
      <c r="S488" s="17"/>
    </row>
    <row r="489" spans="19:19" ht="20.100000000000001" customHeight="1" x14ac:dyDescent="0.3">
      <c r="S489" s="17"/>
    </row>
    <row r="490" spans="19:19" ht="20.100000000000001" customHeight="1" x14ac:dyDescent="0.3">
      <c r="S490" s="17"/>
    </row>
    <row r="491" spans="19:19" ht="20.100000000000001" customHeight="1" x14ac:dyDescent="0.3">
      <c r="S491" s="17"/>
    </row>
    <row r="492" spans="19:19" ht="20.100000000000001" customHeight="1" x14ac:dyDescent="0.3">
      <c r="S492" s="17"/>
    </row>
    <row r="493" spans="19:19" ht="20.100000000000001" customHeight="1" x14ac:dyDescent="0.3">
      <c r="S493" s="17"/>
    </row>
    <row r="494" spans="19:19" ht="20.100000000000001" customHeight="1" x14ac:dyDescent="0.3">
      <c r="S494" s="17"/>
    </row>
    <row r="495" spans="19:19" ht="20.100000000000001" customHeight="1" x14ac:dyDescent="0.3">
      <c r="S495" s="17"/>
    </row>
    <row r="496" spans="19:19" ht="20.100000000000001" customHeight="1" x14ac:dyDescent="0.3">
      <c r="S496" s="17"/>
    </row>
    <row r="497" spans="19:19" ht="20.100000000000001" customHeight="1" x14ac:dyDescent="0.3">
      <c r="S497" s="17"/>
    </row>
    <row r="498" spans="19:19" ht="20.100000000000001" customHeight="1" x14ac:dyDescent="0.3">
      <c r="S498" s="17"/>
    </row>
    <row r="499" spans="19:19" ht="20.100000000000001" customHeight="1" x14ac:dyDescent="0.3">
      <c r="S499" s="17"/>
    </row>
    <row r="500" spans="19:19" ht="20.100000000000001" customHeight="1" x14ac:dyDescent="0.3">
      <c r="S500" s="17"/>
    </row>
    <row r="501" spans="19:19" ht="20.100000000000001" customHeight="1" x14ac:dyDescent="0.3">
      <c r="S501" s="17"/>
    </row>
    <row r="502" spans="19:19" ht="20.100000000000001" customHeight="1" x14ac:dyDescent="0.3">
      <c r="S502" s="17"/>
    </row>
    <row r="503" spans="19:19" ht="20.100000000000001" customHeight="1" x14ac:dyDescent="0.3">
      <c r="S503" s="17"/>
    </row>
    <row r="504" spans="19:19" ht="20.100000000000001" customHeight="1" x14ac:dyDescent="0.3">
      <c r="S504" s="17"/>
    </row>
    <row r="505" spans="19:19" ht="20.100000000000001" customHeight="1" x14ac:dyDescent="0.3">
      <c r="S505" s="17"/>
    </row>
    <row r="506" spans="19:19" ht="20.100000000000001" customHeight="1" x14ac:dyDescent="0.3">
      <c r="S506" s="17"/>
    </row>
    <row r="507" spans="19:19" ht="20.100000000000001" customHeight="1" x14ac:dyDescent="0.3">
      <c r="S507" s="17"/>
    </row>
    <row r="508" spans="19:19" ht="20.100000000000001" customHeight="1" x14ac:dyDescent="0.3">
      <c r="S508" s="17"/>
    </row>
    <row r="509" spans="19:19" ht="20.100000000000001" customHeight="1" x14ac:dyDescent="0.3">
      <c r="S509" s="17"/>
    </row>
    <row r="510" spans="19:19" ht="20.100000000000001" customHeight="1" x14ac:dyDescent="0.3">
      <c r="S510" s="17"/>
    </row>
    <row r="511" spans="19:19" ht="20.100000000000001" customHeight="1" x14ac:dyDescent="0.3">
      <c r="S511" s="17"/>
    </row>
    <row r="512" spans="19:19" ht="20.100000000000001" customHeight="1" x14ac:dyDescent="0.3">
      <c r="S512" s="17"/>
    </row>
    <row r="513" spans="19:19" ht="20.100000000000001" customHeight="1" x14ac:dyDescent="0.3">
      <c r="S513" s="17"/>
    </row>
    <row r="514" spans="19:19" ht="20.100000000000001" customHeight="1" x14ac:dyDescent="0.3">
      <c r="S514" s="17"/>
    </row>
    <row r="515" spans="19:19" ht="20.100000000000001" customHeight="1" x14ac:dyDescent="0.3">
      <c r="S515" s="17"/>
    </row>
    <row r="516" spans="19:19" ht="20.100000000000001" customHeight="1" x14ac:dyDescent="0.3">
      <c r="S516" s="17"/>
    </row>
    <row r="517" spans="19:19" ht="20.100000000000001" customHeight="1" x14ac:dyDescent="0.3">
      <c r="S517" s="17"/>
    </row>
    <row r="518" spans="19:19" ht="20.100000000000001" customHeight="1" x14ac:dyDescent="0.3">
      <c r="S518" s="17"/>
    </row>
    <row r="519" spans="19:19" ht="20.100000000000001" customHeight="1" x14ac:dyDescent="0.3">
      <c r="S519" s="17"/>
    </row>
    <row r="520" spans="19:19" ht="20.100000000000001" customHeight="1" x14ac:dyDescent="0.3">
      <c r="S520" s="17"/>
    </row>
    <row r="521" spans="19:19" ht="20.100000000000001" customHeight="1" x14ac:dyDescent="0.3">
      <c r="S521" s="17"/>
    </row>
    <row r="522" spans="19:19" ht="20.100000000000001" customHeight="1" x14ac:dyDescent="0.3">
      <c r="S522" s="17"/>
    </row>
    <row r="523" spans="19:19" ht="20.100000000000001" customHeight="1" x14ac:dyDescent="0.3">
      <c r="S523" s="17"/>
    </row>
    <row r="524" spans="19:19" ht="20.100000000000001" customHeight="1" x14ac:dyDescent="0.3">
      <c r="S524" s="17"/>
    </row>
    <row r="525" spans="19:19" ht="20.100000000000001" customHeight="1" x14ac:dyDescent="0.3">
      <c r="S525" s="17"/>
    </row>
    <row r="526" spans="19:19" ht="20.100000000000001" customHeight="1" x14ac:dyDescent="0.3">
      <c r="S526" s="17"/>
    </row>
    <row r="527" spans="19:19" ht="20.100000000000001" customHeight="1" x14ac:dyDescent="0.3">
      <c r="S527" s="17"/>
    </row>
    <row r="528" spans="19:19" ht="20.100000000000001" customHeight="1" x14ac:dyDescent="0.3">
      <c r="S528" s="17"/>
    </row>
    <row r="529" spans="19:19" ht="20.100000000000001" customHeight="1" x14ac:dyDescent="0.3">
      <c r="S529" s="17"/>
    </row>
    <row r="530" spans="19:19" ht="20.100000000000001" customHeight="1" x14ac:dyDescent="0.3">
      <c r="S530" s="17"/>
    </row>
    <row r="531" spans="19:19" ht="20.100000000000001" customHeight="1" x14ac:dyDescent="0.3">
      <c r="S531" s="17"/>
    </row>
    <row r="532" spans="19:19" ht="20.100000000000001" customHeight="1" x14ac:dyDescent="0.3">
      <c r="S532" s="17"/>
    </row>
    <row r="533" spans="19:19" ht="20.100000000000001" customHeight="1" x14ac:dyDescent="0.3">
      <c r="S533" s="17"/>
    </row>
    <row r="534" spans="19:19" ht="20.100000000000001" customHeight="1" x14ac:dyDescent="0.3">
      <c r="S534" s="17"/>
    </row>
    <row r="535" spans="19:19" ht="20.100000000000001" customHeight="1" x14ac:dyDescent="0.3">
      <c r="S535" s="17"/>
    </row>
    <row r="536" spans="19:19" ht="20.100000000000001" customHeight="1" x14ac:dyDescent="0.3">
      <c r="S536" s="17"/>
    </row>
    <row r="537" spans="19:19" ht="20.100000000000001" customHeight="1" x14ac:dyDescent="0.3">
      <c r="S537" s="17"/>
    </row>
    <row r="538" spans="19:19" ht="20.100000000000001" customHeight="1" x14ac:dyDescent="0.3">
      <c r="S538" s="17"/>
    </row>
    <row r="539" spans="19:19" ht="20.100000000000001" customHeight="1" x14ac:dyDescent="0.3">
      <c r="S539" s="17"/>
    </row>
    <row r="540" spans="19:19" ht="20.100000000000001" customHeight="1" x14ac:dyDescent="0.3">
      <c r="S540" s="17"/>
    </row>
    <row r="541" spans="19:19" ht="20.100000000000001" customHeight="1" x14ac:dyDescent="0.3">
      <c r="S541" s="17"/>
    </row>
    <row r="542" spans="19:19" ht="20.100000000000001" customHeight="1" x14ac:dyDescent="0.3">
      <c r="S542" s="17"/>
    </row>
    <row r="543" spans="19:19" ht="20.100000000000001" customHeight="1" x14ac:dyDescent="0.3">
      <c r="S543" s="17"/>
    </row>
    <row r="544" spans="19:19" ht="20.100000000000001" customHeight="1" x14ac:dyDescent="0.3">
      <c r="S544" s="17"/>
    </row>
    <row r="545" spans="19:19" ht="20.100000000000001" customHeight="1" x14ac:dyDescent="0.3">
      <c r="S545" s="17"/>
    </row>
    <row r="546" spans="19:19" ht="20.100000000000001" customHeight="1" x14ac:dyDescent="0.3">
      <c r="S546" s="17"/>
    </row>
    <row r="547" spans="19:19" ht="20.100000000000001" customHeight="1" x14ac:dyDescent="0.3">
      <c r="S547" s="17"/>
    </row>
    <row r="548" spans="19:19" ht="20.100000000000001" customHeight="1" x14ac:dyDescent="0.3">
      <c r="S548" s="17"/>
    </row>
    <row r="549" spans="19:19" ht="20.100000000000001" customHeight="1" x14ac:dyDescent="0.3">
      <c r="S549" s="17"/>
    </row>
    <row r="550" spans="19:19" ht="20.100000000000001" customHeight="1" x14ac:dyDescent="0.3">
      <c r="S550" s="17"/>
    </row>
    <row r="551" spans="19:19" ht="20.100000000000001" customHeight="1" x14ac:dyDescent="0.3">
      <c r="S551" s="17"/>
    </row>
    <row r="552" spans="19:19" ht="20.100000000000001" customHeight="1" x14ac:dyDescent="0.3">
      <c r="S552" s="17"/>
    </row>
    <row r="553" spans="19:19" ht="20.100000000000001" customHeight="1" x14ac:dyDescent="0.3">
      <c r="S553" s="17"/>
    </row>
    <row r="554" spans="19:19" ht="20.100000000000001" customHeight="1" x14ac:dyDescent="0.3">
      <c r="S554" s="17"/>
    </row>
    <row r="555" spans="19:19" ht="20.100000000000001" customHeight="1" x14ac:dyDescent="0.3">
      <c r="S555" s="17"/>
    </row>
    <row r="556" spans="19:19" ht="20.100000000000001" customHeight="1" x14ac:dyDescent="0.3">
      <c r="S556" s="17"/>
    </row>
    <row r="557" spans="19:19" ht="20.100000000000001" customHeight="1" x14ac:dyDescent="0.3">
      <c r="S557" s="17"/>
    </row>
    <row r="558" spans="19:19" ht="20.100000000000001" customHeight="1" x14ac:dyDescent="0.3">
      <c r="S558" s="17"/>
    </row>
    <row r="559" spans="19:19" ht="20.100000000000001" customHeight="1" x14ac:dyDescent="0.3">
      <c r="S559" s="17"/>
    </row>
    <row r="560" spans="19:19" ht="20.100000000000001" customHeight="1" x14ac:dyDescent="0.3">
      <c r="S560" s="17"/>
    </row>
    <row r="561" spans="19:19" ht="20.100000000000001" customHeight="1" x14ac:dyDescent="0.3">
      <c r="S561" s="17"/>
    </row>
    <row r="562" spans="19:19" ht="20.100000000000001" customHeight="1" x14ac:dyDescent="0.3">
      <c r="S562" s="17"/>
    </row>
    <row r="563" spans="19:19" ht="20.100000000000001" customHeight="1" x14ac:dyDescent="0.3">
      <c r="S563" s="17"/>
    </row>
    <row r="564" spans="19:19" ht="20.100000000000001" customHeight="1" x14ac:dyDescent="0.3">
      <c r="S564" s="17"/>
    </row>
    <row r="565" spans="19:19" ht="20.100000000000001" customHeight="1" x14ac:dyDescent="0.3">
      <c r="S565" s="17"/>
    </row>
    <row r="566" spans="19:19" ht="20.100000000000001" customHeight="1" x14ac:dyDescent="0.3">
      <c r="S566" s="17"/>
    </row>
    <row r="567" spans="19:19" ht="20.100000000000001" customHeight="1" x14ac:dyDescent="0.3">
      <c r="S567" s="17"/>
    </row>
    <row r="568" spans="19:19" ht="20.100000000000001" customHeight="1" x14ac:dyDescent="0.3">
      <c r="S568" s="17"/>
    </row>
    <row r="569" spans="19:19" ht="20.100000000000001" customHeight="1" x14ac:dyDescent="0.3">
      <c r="S569" s="17"/>
    </row>
    <row r="570" spans="19:19" ht="20.100000000000001" customHeight="1" x14ac:dyDescent="0.3">
      <c r="S570" s="17"/>
    </row>
    <row r="571" spans="19:19" ht="20.100000000000001" customHeight="1" x14ac:dyDescent="0.3">
      <c r="S571" s="17"/>
    </row>
    <row r="572" spans="19:19" ht="20.100000000000001" customHeight="1" x14ac:dyDescent="0.3">
      <c r="S572" s="17"/>
    </row>
    <row r="573" spans="19:19" ht="20.100000000000001" customHeight="1" x14ac:dyDescent="0.3">
      <c r="S573" s="17"/>
    </row>
    <row r="574" spans="19:19" ht="20.100000000000001" customHeight="1" x14ac:dyDescent="0.3">
      <c r="S574" s="17"/>
    </row>
    <row r="575" spans="19:19" ht="20.100000000000001" customHeight="1" x14ac:dyDescent="0.3">
      <c r="S575" s="17"/>
    </row>
    <row r="576" spans="19:19" ht="20.100000000000001" customHeight="1" x14ac:dyDescent="0.3">
      <c r="S576" s="17"/>
    </row>
    <row r="577" spans="19:19" ht="20.100000000000001" customHeight="1" x14ac:dyDescent="0.3">
      <c r="S577" s="17"/>
    </row>
    <row r="578" spans="19:19" ht="20.100000000000001" customHeight="1" x14ac:dyDescent="0.3">
      <c r="S578" s="17"/>
    </row>
    <row r="579" spans="19:19" ht="20.100000000000001" customHeight="1" x14ac:dyDescent="0.3">
      <c r="S579" s="17"/>
    </row>
    <row r="580" spans="19:19" ht="20.100000000000001" customHeight="1" x14ac:dyDescent="0.3">
      <c r="S580" s="17"/>
    </row>
    <row r="581" spans="19:19" ht="20.100000000000001" customHeight="1" x14ac:dyDescent="0.3">
      <c r="S581" s="17"/>
    </row>
    <row r="582" spans="19:19" ht="20.100000000000001" customHeight="1" x14ac:dyDescent="0.3">
      <c r="S582" s="17"/>
    </row>
    <row r="583" spans="19:19" ht="20.100000000000001" customHeight="1" x14ac:dyDescent="0.3">
      <c r="S583" s="17"/>
    </row>
    <row r="584" spans="19:19" ht="20.100000000000001" customHeight="1" x14ac:dyDescent="0.3">
      <c r="S584" s="17"/>
    </row>
    <row r="585" spans="19:19" ht="20.100000000000001" customHeight="1" x14ac:dyDescent="0.3">
      <c r="S585" s="17"/>
    </row>
    <row r="586" spans="19:19" ht="20.100000000000001" customHeight="1" x14ac:dyDescent="0.3">
      <c r="S586" s="17"/>
    </row>
    <row r="587" spans="19:19" ht="20.100000000000001" customHeight="1" x14ac:dyDescent="0.3">
      <c r="S587" s="17"/>
    </row>
    <row r="588" spans="19:19" ht="20.100000000000001" customHeight="1" x14ac:dyDescent="0.3">
      <c r="S588" s="17"/>
    </row>
    <row r="589" spans="19:19" ht="20.100000000000001" customHeight="1" x14ac:dyDescent="0.3">
      <c r="S589" s="17"/>
    </row>
    <row r="590" spans="19:19" ht="20.100000000000001" customHeight="1" x14ac:dyDescent="0.3">
      <c r="S590" s="17"/>
    </row>
    <row r="591" spans="19:19" ht="20.100000000000001" customHeight="1" x14ac:dyDescent="0.3">
      <c r="S591" s="17"/>
    </row>
    <row r="592" spans="19:19" ht="20.100000000000001" customHeight="1" x14ac:dyDescent="0.3">
      <c r="S592" s="17"/>
    </row>
    <row r="593" spans="19:19" ht="20.100000000000001" customHeight="1" x14ac:dyDescent="0.3">
      <c r="S593" s="17"/>
    </row>
    <row r="594" spans="19:19" ht="20.100000000000001" customHeight="1" x14ac:dyDescent="0.3">
      <c r="S594" s="17"/>
    </row>
    <row r="595" spans="19:19" ht="20.100000000000001" customHeight="1" x14ac:dyDescent="0.3">
      <c r="S595" s="17"/>
    </row>
    <row r="596" spans="19:19" ht="20.100000000000001" customHeight="1" x14ac:dyDescent="0.3">
      <c r="S596" s="17"/>
    </row>
    <row r="597" spans="19:19" ht="20.100000000000001" customHeight="1" x14ac:dyDescent="0.3">
      <c r="S597" s="17"/>
    </row>
    <row r="598" spans="19:19" ht="20.100000000000001" customHeight="1" x14ac:dyDescent="0.3">
      <c r="S598" s="17"/>
    </row>
    <row r="599" spans="19:19" ht="20.100000000000001" customHeight="1" x14ac:dyDescent="0.3">
      <c r="S599" s="17"/>
    </row>
    <row r="600" spans="19:19" ht="20.100000000000001" customHeight="1" x14ac:dyDescent="0.3">
      <c r="S600" s="17"/>
    </row>
    <row r="601" spans="19:19" ht="20.100000000000001" customHeight="1" x14ac:dyDescent="0.3">
      <c r="S601" s="17"/>
    </row>
    <row r="602" spans="19:19" ht="20.100000000000001" customHeight="1" x14ac:dyDescent="0.3">
      <c r="S602" s="17"/>
    </row>
    <row r="603" spans="19:19" ht="20.100000000000001" customHeight="1" x14ac:dyDescent="0.3">
      <c r="S603" s="17"/>
    </row>
    <row r="604" spans="19:19" ht="20.100000000000001" customHeight="1" x14ac:dyDescent="0.3">
      <c r="S604" s="17"/>
    </row>
    <row r="605" spans="19:19" ht="20.100000000000001" customHeight="1" x14ac:dyDescent="0.3">
      <c r="S605" s="17"/>
    </row>
    <row r="606" spans="19:19" ht="20.100000000000001" customHeight="1" x14ac:dyDescent="0.3">
      <c r="S606" s="17"/>
    </row>
    <row r="607" spans="19:19" ht="20.100000000000001" customHeight="1" x14ac:dyDescent="0.3">
      <c r="S607" s="17"/>
    </row>
    <row r="608" spans="19:19" ht="20.100000000000001" customHeight="1" x14ac:dyDescent="0.3">
      <c r="S608" s="17"/>
    </row>
    <row r="609" spans="19:19" ht="20.100000000000001" customHeight="1" x14ac:dyDescent="0.3">
      <c r="S609" s="17"/>
    </row>
    <row r="610" spans="19:19" ht="20.100000000000001" customHeight="1" x14ac:dyDescent="0.3">
      <c r="S610" s="17"/>
    </row>
    <row r="611" spans="19:19" ht="20.100000000000001" customHeight="1" x14ac:dyDescent="0.3">
      <c r="S611" s="17"/>
    </row>
    <row r="612" spans="19:19" ht="20.100000000000001" customHeight="1" x14ac:dyDescent="0.3">
      <c r="S612" s="17"/>
    </row>
    <row r="613" spans="19:19" ht="20.100000000000001" customHeight="1" x14ac:dyDescent="0.3">
      <c r="S613" s="17"/>
    </row>
    <row r="614" spans="19:19" ht="20.100000000000001" customHeight="1" x14ac:dyDescent="0.3">
      <c r="S614" s="17"/>
    </row>
    <row r="615" spans="19:19" ht="20.100000000000001" customHeight="1" x14ac:dyDescent="0.3">
      <c r="S615" s="17"/>
    </row>
    <row r="616" spans="19:19" ht="20.100000000000001" customHeight="1" x14ac:dyDescent="0.3">
      <c r="S616" s="17"/>
    </row>
    <row r="617" spans="19:19" ht="20.100000000000001" customHeight="1" x14ac:dyDescent="0.3">
      <c r="S617" s="17"/>
    </row>
    <row r="618" spans="19:19" ht="20.100000000000001" customHeight="1" x14ac:dyDescent="0.3">
      <c r="S618" s="17"/>
    </row>
    <row r="619" spans="19:19" ht="20.100000000000001" customHeight="1" x14ac:dyDescent="0.3">
      <c r="S619" s="17"/>
    </row>
    <row r="620" spans="19:19" ht="20.100000000000001" customHeight="1" x14ac:dyDescent="0.3">
      <c r="S620" s="17"/>
    </row>
    <row r="621" spans="19:19" ht="20.100000000000001" customHeight="1" x14ac:dyDescent="0.3">
      <c r="S621" s="17"/>
    </row>
    <row r="622" spans="19:19" ht="20.100000000000001" customHeight="1" x14ac:dyDescent="0.3">
      <c r="S622" s="17"/>
    </row>
    <row r="623" spans="19:19" ht="20.100000000000001" customHeight="1" x14ac:dyDescent="0.3">
      <c r="S623" s="17"/>
    </row>
    <row r="624" spans="19:19" ht="20.100000000000001" customHeight="1" x14ac:dyDescent="0.3">
      <c r="S624" s="17"/>
    </row>
    <row r="625" spans="19:19" ht="20.100000000000001" customHeight="1" x14ac:dyDescent="0.3">
      <c r="S625" s="17"/>
    </row>
    <row r="626" spans="19:19" ht="20.100000000000001" customHeight="1" x14ac:dyDescent="0.3">
      <c r="S626" s="17"/>
    </row>
    <row r="627" spans="19:19" ht="20.100000000000001" customHeight="1" x14ac:dyDescent="0.3">
      <c r="S627" s="17"/>
    </row>
    <row r="628" spans="19:19" ht="20.100000000000001" customHeight="1" x14ac:dyDescent="0.3">
      <c r="S628" s="17"/>
    </row>
    <row r="629" spans="19:19" ht="20.100000000000001" customHeight="1" x14ac:dyDescent="0.3">
      <c r="S629" s="17"/>
    </row>
    <row r="630" spans="19:19" ht="20.100000000000001" customHeight="1" x14ac:dyDescent="0.3">
      <c r="S630" s="17"/>
    </row>
    <row r="631" spans="19:19" ht="20.100000000000001" customHeight="1" x14ac:dyDescent="0.3">
      <c r="S631" s="17"/>
    </row>
    <row r="632" spans="19:19" ht="20.100000000000001" customHeight="1" x14ac:dyDescent="0.3">
      <c r="S632" s="17"/>
    </row>
    <row r="633" spans="19:19" ht="20.100000000000001" customHeight="1" x14ac:dyDescent="0.3">
      <c r="S633" s="17"/>
    </row>
    <row r="634" spans="19:19" ht="20.100000000000001" customHeight="1" x14ac:dyDescent="0.3">
      <c r="S634" s="17"/>
    </row>
    <row r="635" spans="19:19" ht="20.100000000000001" customHeight="1" x14ac:dyDescent="0.3">
      <c r="S635" s="17"/>
    </row>
    <row r="636" spans="19:19" ht="20.100000000000001" customHeight="1" x14ac:dyDescent="0.3">
      <c r="S636" s="17"/>
    </row>
    <row r="637" spans="19:19" ht="20.100000000000001" customHeight="1" x14ac:dyDescent="0.3">
      <c r="S637" s="17"/>
    </row>
    <row r="638" spans="19:19" ht="20.100000000000001" customHeight="1" x14ac:dyDescent="0.3">
      <c r="S638" s="17"/>
    </row>
    <row r="639" spans="19:19" ht="20.100000000000001" customHeight="1" x14ac:dyDescent="0.3">
      <c r="S639" s="17"/>
    </row>
    <row r="640" spans="19:19" ht="20.100000000000001" customHeight="1" x14ac:dyDescent="0.3">
      <c r="S640" s="17"/>
    </row>
    <row r="641" spans="19:19" ht="20.100000000000001" customHeight="1" x14ac:dyDescent="0.3">
      <c r="S641" s="17"/>
    </row>
    <row r="642" spans="19:19" ht="20.100000000000001" customHeight="1" x14ac:dyDescent="0.3">
      <c r="S642" s="17"/>
    </row>
    <row r="643" spans="19:19" ht="20.100000000000001" customHeight="1" x14ac:dyDescent="0.3">
      <c r="S643" s="17"/>
    </row>
    <row r="644" spans="19:19" ht="20.100000000000001" customHeight="1" x14ac:dyDescent="0.3">
      <c r="S644" s="17"/>
    </row>
    <row r="645" spans="19:19" ht="20.100000000000001" customHeight="1" x14ac:dyDescent="0.3">
      <c r="S645" s="17"/>
    </row>
    <row r="646" spans="19:19" ht="20.100000000000001" customHeight="1" x14ac:dyDescent="0.3">
      <c r="S646" s="17"/>
    </row>
    <row r="647" spans="19:19" ht="20.100000000000001" customHeight="1" x14ac:dyDescent="0.3">
      <c r="S647" s="17"/>
    </row>
    <row r="648" spans="19:19" ht="20.100000000000001" customHeight="1" x14ac:dyDescent="0.3">
      <c r="S648" s="17"/>
    </row>
    <row r="649" spans="19:19" ht="20.100000000000001" customHeight="1" x14ac:dyDescent="0.3">
      <c r="S649" s="17"/>
    </row>
    <row r="650" spans="19:19" ht="20.100000000000001" customHeight="1" x14ac:dyDescent="0.3">
      <c r="S650" s="17"/>
    </row>
    <row r="651" spans="19:19" ht="20.100000000000001" customHeight="1" x14ac:dyDescent="0.3">
      <c r="S651" s="17"/>
    </row>
    <row r="652" spans="19:19" ht="20.100000000000001" customHeight="1" x14ac:dyDescent="0.3">
      <c r="S652" s="17"/>
    </row>
    <row r="653" spans="19:19" ht="20.100000000000001" customHeight="1" x14ac:dyDescent="0.3">
      <c r="S653" s="17"/>
    </row>
    <row r="654" spans="19:19" ht="20.100000000000001" customHeight="1" x14ac:dyDescent="0.3">
      <c r="S654" s="17"/>
    </row>
    <row r="655" spans="19:19" ht="20.100000000000001" customHeight="1" x14ac:dyDescent="0.3">
      <c r="S655" s="17"/>
    </row>
    <row r="656" spans="19:19" ht="20.100000000000001" customHeight="1" x14ac:dyDescent="0.3">
      <c r="S656" s="17"/>
    </row>
    <row r="657" spans="19:19" ht="20.100000000000001" customHeight="1" x14ac:dyDescent="0.3">
      <c r="S657" s="17"/>
    </row>
    <row r="658" spans="19:19" ht="20.100000000000001" customHeight="1" x14ac:dyDescent="0.3">
      <c r="S658" s="17"/>
    </row>
    <row r="659" spans="19:19" ht="20.100000000000001" customHeight="1" x14ac:dyDescent="0.3">
      <c r="S659" s="17"/>
    </row>
    <row r="660" spans="19:19" ht="20.100000000000001" customHeight="1" x14ac:dyDescent="0.3">
      <c r="S660" s="17"/>
    </row>
    <row r="661" spans="19:19" ht="20.100000000000001" customHeight="1" x14ac:dyDescent="0.3">
      <c r="S661" s="17"/>
    </row>
    <row r="662" spans="19:19" ht="20.100000000000001" customHeight="1" x14ac:dyDescent="0.3">
      <c r="S662" s="17"/>
    </row>
    <row r="663" spans="19:19" ht="20.100000000000001" customHeight="1" x14ac:dyDescent="0.3">
      <c r="S663" s="17"/>
    </row>
    <row r="664" spans="19:19" ht="20.100000000000001" customHeight="1" x14ac:dyDescent="0.3">
      <c r="S664" s="17"/>
    </row>
    <row r="665" spans="19:19" ht="20.100000000000001" customHeight="1" x14ac:dyDescent="0.3">
      <c r="S665" s="17"/>
    </row>
    <row r="666" spans="19:19" ht="20.100000000000001" customHeight="1" x14ac:dyDescent="0.3">
      <c r="S666" s="17"/>
    </row>
    <row r="667" spans="19:19" ht="20.100000000000001" customHeight="1" x14ac:dyDescent="0.3">
      <c r="S667" s="17"/>
    </row>
    <row r="668" spans="19:19" ht="20.100000000000001" customHeight="1" x14ac:dyDescent="0.3">
      <c r="S668" s="17"/>
    </row>
    <row r="669" spans="19:19" ht="20.100000000000001" customHeight="1" x14ac:dyDescent="0.3">
      <c r="S669" s="17"/>
    </row>
    <row r="670" spans="19:19" ht="20.100000000000001" customHeight="1" x14ac:dyDescent="0.3">
      <c r="S670" s="17"/>
    </row>
    <row r="671" spans="19:19" ht="20.100000000000001" customHeight="1" x14ac:dyDescent="0.3">
      <c r="S671" s="17"/>
    </row>
    <row r="672" spans="19:19" ht="20.100000000000001" customHeight="1" x14ac:dyDescent="0.3">
      <c r="S672" s="17"/>
    </row>
    <row r="673" spans="19:19" ht="20.100000000000001" customHeight="1" x14ac:dyDescent="0.3">
      <c r="S673" s="17"/>
    </row>
    <row r="674" spans="19:19" ht="20.100000000000001" customHeight="1" x14ac:dyDescent="0.3">
      <c r="S674" s="17"/>
    </row>
    <row r="675" spans="19:19" ht="20.100000000000001" customHeight="1" x14ac:dyDescent="0.3">
      <c r="S675" s="17"/>
    </row>
    <row r="676" spans="19:19" ht="20.100000000000001" customHeight="1" x14ac:dyDescent="0.3">
      <c r="S676" s="17"/>
    </row>
    <row r="677" spans="19:19" ht="20.100000000000001" customHeight="1" x14ac:dyDescent="0.3">
      <c r="S677" s="17"/>
    </row>
    <row r="678" spans="19:19" ht="20.100000000000001" customHeight="1" x14ac:dyDescent="0.3">
      <c r="S678" s="17"/>
    </row>
    <row r="679" spans="19:19" ht="20.100000000000001" customHeight="1" x14ac:dyDescent="0.3">
      <c r="S679" s="17"/>
    </row>
    <row r="680" spans="19:19" ht="20.100000000000001" customHeight="1" x14ac:dyDescent="0.3">
      <c r="S680" s="17"/>
    </row>
    <row r="681" spans="19:19" ht="20.100000000000001" customHeight="1" x14ac:dyDescent="0.3">
      <c r="S681" s="17"/>
    </row>
    <row r="682" spans="19:19" ht="20.100000000000001" customHeight="1" x14ac:dyDescent="0.3">
      <c r="S682" s="17"/>
    </row>
    <row r="683" spans="19:19" ht="20.100000000000001" customHeight="1" x14ac:dyDescent="0.3">
      <c r="S683" s="17"/>
    </row>
    <row r="684" spans="19:19" ht="20.100000000000001" customHeight="1" x14ac:dyDescent="0.3">
      <c r="S684" s="17"/>
    </row>
    <row r="685" spans="19:19" ht="20.100000000000001" customHeight="1" x14ac:dyDescent="0.3">
      <c r="S685" s="17"/>
    </row>
    <row r="686" spans="19:19" ht="20.100000000000001" customHeight="1" x14ac:dyDescent="0.3">
      <c r="S686" s="17"/>
    </row>
    <row r="687" spans="19:19" ht="20.100000000000001" customHeight="1" x14ac:dyDescent="0.3">
      <c r="S687" s="17"/>
    </row>
    <row r="688" spans="19:19" ht="20.100000000000001" customHeight="1" x14ac:dyDescent="0.3">
      <c r="S688" s="17"/>
    </row>
    <row r="689" spans="19:19" ht="20.100000000000001" customHeight="1" x14ac:dyDescent="0.3">
      <c r="S689" s="17"/>
    </row>
    <row r="690" spans="19:19" ht="20.100000000000001" customHeight="1" x14ac:dyDescent="0.3">
      <c r="S690" s="17"/>
    </row>
    <row r="691" spans="19:19" ht="20.100000000000001" customHeight="1" x14ac:dyDescent="0.3">
      <c r="S691" s="17"/>
    </row>
    <row r="692" spans="19:19" ht="20.100000000000001" customHeight="1" x14ac:dyDescent="0.3">
      <c r="S692" s="17"/>
    </row>
    <row r="693" spans="19:19" ht="20.100000000000001" customHeight="1" x14ac:dyDescent="0.3">
      <c r="S693" s="17"/>
    </row>
    <row r="694" spans="19:19" ht="20.100000000000001" customHeight="1" x14ac:dyDescent="0.3">
      <c r="S694" s="17"/>
    </row>
    <row r="695" spans="19:19" ht="20.100000000000001" customHeight="1" x14ac:dyDescent="0.3">
      <c r="S695" s="17"/>
    </row>
    <row r="696" spans="19:19" ht="20.100000000000001" customHeight="1" x14ac:dyDescent="0.3">
      <c r="S696" s="17"/>
    </row>
    <row r="697" spans="19:19" ht="20.100000000000001" customHeight="1" x14ac:dyDescent="0.3">
      <c r="S697" s="17"/>
    </row>
    <row r="698" spans="19:19" ht="20.100000000000001" customHeight="1" x14ac:dyDescent="0.3">
      <c r="S698" s="17"/>
    </row>
    <row r="699" spans="19:19" ht="20.100000000000001" customHeight="1" x14ac:dyDescent="0.3">
      <c r="S699" s="17"/>
    </row>
    <row r="700" spans="19:19" ht="20.100000000000001" customHeight="1" x14ac:dyDescent="0.3">
      <c r="S700" s="17"/>
    </row>
    <row r="701" spans="19:19" ht="20.100000000000001" customHeight="1" x14ac:dyDescent="0.3">
      <c r="S701" s="17"/>
    </row>
    <row r="702" spans="19:19" ht="20.100000000000001" customHeight="1" x14ac:dyDescent="0.3">
      <c r="S702" s="17"/>
    </row>
    <row r="703" spans="19:19" ht="20.100000000000001" customHeight="1" x14ac:dyDescent="0.3">
      <c r="S703" s="17"/>
    </row>
    <row r="704" spans="19:19" ht="20.100000000000001" customHeight="1" x14ac:dyDescent="0.3">
      <c r="S704" s="17"/>
    </row>
    <row r="705" spans="19:19" ht="20.100000000000001" customHeight="1" x14ac:dyDescent="0.3">
      <c r="S705" s="17"/>
    </row>
    <row r="706" spans="19:19" ht="20.100000000000001" customHeight="1" x14ac:dyDescent="0.3">
      <c r="S706" s="17"/>
    </row>
    <row r="707" spans="19:19" ht="20.100000000000001" customHeight="1" x14ac:dyDescent="0.3">
      <c r="S707" s="17"/>
    </row>
    <row r="708" spans="19:19" ht="20.100000000000001" customHeight="1" x14ac:dyDescent="0.3">
      <c r="S708" s="17"/>
    </row>
    <row r="709" spans="19:19" ht="20.100000000000001" customHeight="1" x14ac:dyDescent="0.3">
      <c r="S709" s="17"/>
    </row>
    <row r="710" spans="19:19" ht="20.100000000000001" customHeight="1" x14ac:dyDescent="0.3">
      <c r="S710" s="17"/>
    </row>
    <row r="711" spans="19:19" ht="20.100000000000001" customHeight="1" x14ac:dyDescent="0.3">
      <c r="S711" s="17"/>
    </row>
    <row r="712" spans="19:19" ht="20.100000000000001" customHeight="1" x14ac:dyDescent="0.3">
      <c r="S712" s="17"/>
    </row>
    <row r="713" spans="19:19" ht="20.100000000000001" customHeight="1" x14ac:dyDescent="0.3">
      <c r="S713" s="17"/>
    </row>
    <row r="714" spans="19:19" ht="20.100000000000001" customHeight="1" x14ac:dyDescent="0.3">
      <c r="S714" s="17"/>
    </row>
    <row r="715" spans="19:19" ht="20.100000000000001" customHeight="1" x14ac:dyDescent="0.3">
      <c r="S715" s="17"/>
    </row>
    <row r="716" spans="19:19" ht="20.100000000000001" customHeight="1" x14ac:dyDescent="0.3">
      <c r="S716" s="17"/>
    </row>
    <row r="717" spans="19:19" ht="20.100000000000001" customHeight="1" x14ac:dyDescent="0.3">
      <c r="S717" s="17"/>
    </row>
    <row r="718" spans="19:19" ht="20.100000000000001" customHeight="1" x14ac:dyDescent="0.3">
      <c r="S718" s="17"/>
    </row>
    <row r="719" spans="19:19" ht="20.100000000000001" customHeight="1" x14ac:dyDescent="0.3">
      <c r="S719" s="17"/>
    </row>
    <row r="720" spans="19:19" ht="20.100000000000001" customHeight="1" x14ac:dyDescent="0.3">
      <c r="S720" s="17"/>
    </row>
    <row r="721" spans="19:19" ht="20.100000000000001" customHeight="1" x14ac:dyDescent="0.3">
      <c r="S721" s="17"/>
    </row>
    <row r="722" spans="19:19" ht="20.100000000000001" customHeight="1" x14ac:dyDescent="0.3">
      <c r="S722" s="17"/>
    </row>
    <row r="723" spans="19:19" ht="20.100000000000001" customHeight="1" x14ac:dyDescent="0.3">
      <c r="S723" s="17"/>
    </row>
    <row r="724" spans="19:19" ht="20.100000000000001" customHeight="1" x14ac:dyDescent="0.3">
      <c r="S724" s="17"/>
    </row>
    <row r="725" spans="19:19" ht="20.100000000000001" customHeight="1" x14ac:dyDescent="0.3">
      <c r="S725" s="17"/>
    </row>
    <row r="726" spans="19:19" ht="20.100000000000001" customHeight="1" x14ac:dyDescent="0.3">
      <c r="S726" s="17"/>
    </row>
    <row r="727" spans="19:19" ht="20.100000000000001" customHeight="1" x14ac:dyDescent="0.3">
      <c r="S727" s="17"/>
    </row>
    <row r="728" spans="19:19" ht="20.100000000000001" customHeight="1" x14ac:dyDescent="0.3">
      <c r="S728" s="17"/>
    </row>
    <row r="729" spans="19:19" ht="20.100000000000001" customHeight="1" x14ac:dyDescent="0.3">
      <c r="S729" s="17"/>
    </row>
    <row r="730" spans="19:19" ht="20.100000000000001" customHeight="1" x14ac:dyDescent="0.3">
      <c r="S730" s="17"/>
    </row>
    <row r="731" spans="19:19" ht="20.100000000000001" customHeight="1" x14ac:dyDescent="0.3">
      <c r="S731" s="17"/>
    </row>
    <row r="732" spans="19:19" ht="20.100000000000001" customHeight="1" x14ac:dyDescent="0.3">
      <c r="S732" s="17"/>
    </row>
    <row r="733" spans="19:19" ht="20.100000000000001" customHeight="1" x14ac:dyDescent="0.3">
      <c r="S733" s="17"/>
    </row>
    <row r="734" spans="19:19" ht="20.100000000000001" customHeight="1" x14ac:dyDescent="0.3">
      <c r="S734" s="17"/>
    </row>
    <row r="735" spans="19:19" ht="20.100000000000001" customHeight="1" x14ac:dyDescent="0.3">
      <c r="S735" s="17"/>
    </row>
    <row r="736" spans="19:19" ht="20.100000000000001" customHeight="1" x14ac:dyDescent="0.3">
      <c r="S736" s="17"/>
    </row>
    <row r="737" spans="19:19" ht="20.100000000000001" customHeight="1" x14ac:dyDescent="0.3">
      <c r="S737" s="17"/>
    </row>
    <row r="738" spans="19:19" ht="20.100000000000001" customHeight="1" x14ac:dyDescent="0.3">
      <c r="S738" s="17"/>
    </row>
    <row r="739" spans="19:19" ht="20.100000000000001" customHeight="1" x14ac:dyDescent="0.3">
      <c r="S739" s="17"/>
    </row>
    <row r="740" spans="19:19" ht="20.100000000000001" customHeight="1" x14ac:dyDescent="0.3">
      <c r="S740" s="17"/>
    </row>
    <row r="741" spans="19:19" ht="20.100000000000001" customHeight="1" x14ac:dyDescent="0.3">
      <c r="S741" s="17"/>
    </row>
    <row r="742" spans="19:19" ht="20.100000000000001" customHeight="1" x14ac:dyDescent="0.3">
      <c r="S742" s="17"/>
    </row>
    <row r="743" spans="19:19" ht="20.100000000000001" customHeight="1" x14ac:dyDescent="0.3">
      <c r="S743" s="17"/>
    </row>
    <row r="744" spans="19:19" ht="20.100000000000001" customHeight="1" x14ac:dyDescent="0.3">
      <c r="S744" s="17"/>
    </row>
    <row r="745" spans="19:19" ht="20.100000000000001" customHeight="1" x14ac:dyDescent="0.3">
      <c r="S745" s="17"/>
    </row>
    <row r="746" spans="19:19" ht="20.100000000000001" customHeight="1" x14ac:dyDescent="0.3">
      <c r="S746" s="17"/>
    </row>
    <row r="747" spans="19:19" ht="20.100000000000001" customHeight="1" x14ac:dyDescent="0.3">
      <c r="S747" s="17"/>
    </row>
    <row r="748" spans="19:19" ht="20.100000000000001" customHeight="1" x14ac:dyDescent="0.3">
      <c r="S748" s="17"/>
    </row>
    <row r="749" spans="19:19" ht="20.100000000000001" customHeight="1" x14ac:dyDescent="0.3">
      <c r="S749" s="17"/>
    </row>
    <row r="750" spans="19:19" ht="20.100000000000001" customHeight="1" x14ac:dyDescent="0.3">
      <c r="S750" s="17"/>
    </row>
    <row r="751" spans="19:19" ht="20.100000000000001" customHeight="1" x14ac:dyDescent="0.3">
      <c r="S751" s="17"/>
    </row>
    <row r="752" spans="19:19" ht="20.100000000000001" customHeight="1" x14ac:dyDescent="0.3">
      <c r="S752" s="17"/>
    </row>
    <row r="753" spans="19:19" ht="20.100000000000001" customHeight="1" x14ac:dyDescent="0.3">
      <c r="S753" s="17"/>
    </row>
    <row r="754" spans="19:19" ht="20.100000000000001" customHeight="1" x14ac:dyDescent="0.3">
      <c r="S754" s="17"/>
    </row>
    <row r="755" spans="19:19" ht="20.100000000000001" customHeight="1" x14ac:dyDescent="0.3">
      <c r="S755" s="17"/>
    </row>
    <row r="756" spans="19:19" ht="20.100000000000001" customHeight="1" x14ac:dyDescent="0.3">
      <c r="S756" s="17"/>
    </row>
    <row r="757" spans="19:19" ht="20.100000000000001" customHeight="1" x14ac:dyDescent="0.3">
      <c r="S757" s="17"/>
    </row>
    <row r="758" spans="19:19" ht="20.100000000000001" customHeight="1" x14ac:dyDescent="0.3">
      <c r="S758" s="17"/>
    </row>
    <row r="759" spans="19:19" ht="20.100000000000001" customHeight="1" x14ac:dyDescent="0.3">
      <c r="S759" s="17"/>
    </row>
    <row r="760" spans="19:19" ht="20.100000000000001" customHeight="1" x14ac:dyDescent="0.3">
      <c r="S760" s="17"/>
    </row>
    <row r="761" spans="19:19" ht="20.100000000000001" customHeight="1" x14ac:dyDescent="0.3">
      <c r="S761" s="17"/>
    </row>
    <row r="762" spans="19:19" ht="20.100000000000001" customHeight="1" x14ac:dyDescent="0.3">
      <c r="S762" s="17"/>
    </row>
    <row r="763" spans="19:19" ht="20.100000000000001" customHeight="1" x14ac:dyDescent="0.3">
      <c r="S763" s="17"/>
    </row>
    <row r="764" spans="19:19" ht="20.100000000000001" customHeight="1" x14ac:dyDescent="0.3">
      <c r="S764" s="17"/>
    </row>
    <row r="765" spans="19:19" ht="20.100000000000001" customHeight="1" x14ac:dyDescent="0.3">
      <c r="S765" s="17"/>
    </row>
    <row r="766" spans="19:19" ht="20.100000000000001" customHeight="1" x14ac:dyDescent="0.3">
      <c r="S766" s="17"/>
    </row>
    <row r="767" spans="19:19" ht="20.100000000000001" customHeight="1" x14ac:dyDescent="0.3">
      <c r="S767" s="17"/>
    </row>
    <row r="768" spans="19:19" ht="20.100000000000001" customHeight="1" x14ac:dyDescent="0.3">
      <c r="S768" s="17"/>
    </row>
    <row r="769" spans="19:19" ht="20.100000000000001" customHeight="1" x14ac:dyDescent="0.3">
      <c r="S769" s="17"/>
    </row>
    <row r="770" spans="19:19" ht="20.100000000000001" customHeight="1" x14ac:dyDescent="0.3">
      <c r="S770" s="17"/>
    </row>
    <row r="771" spans="19:19" ht="20.100000000000001" customHeight="1" x14ac:dyDescent="0.3">
      <c r="S771" s="17"/>
    </row>
    <row r="772" spans="19:19" ht="20.100000000000001" customHeight="1" x14ac:dyDescent="0.3">
      <c r="S772" s="17"/>
    </row>
    <row r="773" spans="19:19" ht="20.100000000000001" customHeight="1" x14ac:dyDescent="0.3">
      <c r="S773" s="17"/>
    </row>
    <row r="774" spans="19:19" ht="20.100000000000001" customHeight="1" x14ac:dyDescent="0.3">
      <c r="S774" s="17"/>
    </row>
    <row r="775" spans="19:19" ht="20.100000000000001" customHeight="1" x14ac:dyDescent="0.3">
      <c r="S775" s="17"/>
    </row>
    <row r="776" spans="19:19" ht="20.100000000000001" customHeight="1" x14ac:dyDescent="0.3">
      <c r="S776" s="17"/>
    </row>
    <row r="777" spans="19:19" ht="20.100000000000001" customHeight="1" x14ac:dyDescent="0.3">
      <c r="S777" s="17"/>
    </row>
    <row r="778" spans="19:19" ht="20.100000000000001" customHeight="1" x14ac:dyDescent="0.3">
      <c r="S778" s="17"/>
    </row>
    <row r="779" spans="19:19" ht="20.100000000000001" customHeight="1" x14ac:dyDescent="0.3">
      <c r="S779" s="17"/>
    </row>
    <row r="780" spans="19:19" ht="20.100000000000001" customHeight="1" x14ac:dyDescent="0.3">
      <c r="S780" s="17"/>
    </row>
    <row r="781" spans="19:19" ht="20.100000000000001" customHeight="1" x14ac:dyDescent="0.3">
      <c r="S781" s="17"/>
    </row>
    <row r="782" spans="19:19" ht="20.100000000000001" customHeight="1" x14ac:dyDescent="0.3">
      <c r="S782" s="17"/>
    </row>
    <row r="783" spans="19:19" ht="20.100000000000001" customHeight="1" x14ac:dyDescent="0.3">
      <c r="S783" s="17"/>
    </row>
    <row r="784" spans="19:19" ht="20.100000000000001" customHeight="1" x14ac:dyDescent="0.3">
      <c r="S784" s="17"/>
    </row>
    <row r="785" spans="19:19" ht="20.100000000000001" customHeight="1" x14ac:dyDescent="0.3">
      <c r="S785" s="17"/>
    </row>
    <row r="786" spans="19:19" ht="20.100000000000001" customHeight="1" x14ac:dyDescent="0.3">
      <c r="S786" s="17"/>
    </row>
    <row r="787" spans="19:19" ht="20.100000000000001" customHeight="1" x14ac:dyDescent="0.3">
      <c r="S787" s="17"/>
    </row>
    <row r="788" spans="19:19" ht="20.100000000000001" customHeight="1" x14ac:dyDescent="0.3">
      <c r="S788" s="17"/>
    </row>
    <row r="789" spans="19:19" ht="20.100000000000001" customHeight="1" x14ac:dyDescent="0.3">
      <c r="S789" s="17"/>
    </row>
    <row r="790" spans="19:19" ht="20.100000000000001" customHeight="1" x14ac:dyDescent="0.3">
      <c r="S790" s="17"/>
    </row>
    <row r="791" spans="19:19" ht="20.100000000000001" customHeight="1" x14ac:dyDescent="0.3">
      <c r="S791" s="17"/>
    </row>
    <row r="792" spans="19:19" ht="20.100000000000001" customHeight="1" x14ac:dyDescent="0.3">
      <c r="S792" s="17"/>
    </row>
    <row r="793" spans="19:19" ht="20.100000000000001" customHeight="1" x14ac:dyDescent="0.3">
      <c r="S793" s="17"/>
    </row>
    <row r="794" spans="19:19" ht="20.100000000000001" customHeight="1" x14ac:dyDescent="0.3">
      <c r="S794" s="17"/>
    </row>
    <row r="795" spans="19:19" ht="20.100000000000001" customHeight="1" x14ac:dyDescent="0.3">
      <c r="S795" s="17"/>
    </row>
    <row r="796" spans="19:19" ht="20.100000000000001" customHeight="1" x14ac:dyDescent="0.3">
      <c r="S796" s="17"/>
    </row>
    <row r="797" spans="19:19" ht="20.100000000000001" customHeight="1" x14ac:dyDescent="0.3">
      <c r="S797" s="17"/>
    </row>
    <row r="798" spans="19:19" ht="20.100000000000001" customHeight="1" x14ac:dyDescent="0.3">
      <c r="S798" s="17"/>
    </row>
    <row r="799" spans="19:19" ht="20.100000000000001" customHeight="1" x14ac:dyDescent="0.3">
      <c r="S799" s="17"/>
    </row>
    <row r="800" spans="19:19" ht="20.100000000000001" customHeight="1" x14ac:dyDescent="0.3">
      <c r="S800" s="17"/>
    </row>
    <row r="801" spans="19:19" ht="20.100000000000001" customHeight="1" x14ac:dyDescent="0.3">
      <c r="S801" s="17"/>
    </row>
    <row r="802" spans="19:19" ht="20.100000000000001" customHeight="1" x14ac:dyDescent="0.3">
      <c r="S802" s="17"/>
    </row>
    <row r="803" spans="19:19" ht="20.100000000000001" customHeight="1" x14ac:dyDescent="0.3">
      <c r="S803" s="17"/>
    </row>
    <row r="804" spans="19:19" ht="20.100000000000001" customHeight="1" x14ac:dyDescent="0.3">
      <c r="S804" s="17"/>
    </row>
    <row r="805" spans="19:19" ht="20.100000000000001" customHeight="1" x14ac:dyDescent="0.3">
      <c r="S805" s="17"/>
    </row>
    <row r="806" spans="19:19" ht="20.100000000000001" customHeight="1" x14ac:dyDescent="0.3">
      <c r="S806" s="17"/>
    </row>
    <row r="807" spans="19:19" ht="20.100000000000001" customHeight="1" x14ac:dyDescent="0.3">
      <c r="S807" s="17"/>
    </row>
    <row r="808" spans="19:19" ht="20.100000000000001" customHeight="1" x14ac:dyDescent="0.3">
      <c r="S808" s="17"/>
    </row>
    <row r="809" spans="19:19" ht="20.100000000000001" customHeight="1" x14ac:dyDescent="0.3">
      <c r="S809" s="17"/>
    </row>
    <row r="810" spans="19:19" ht="20.100000000000001" customHeight="1" x14ac:dyDescent="0.3">
      <c r="S810" s="17"/>
    </row>
    <row r="811" spans="19:19" ht="20.100000000000001" customHeight="1" x14ac:dyDescent="0.3">
      <c r="S811" s="17"/>
    </row>
    <row r="812" spans="19:19" ht="20.100000000000001" customHeight="1" x14ac:dyDescent="0.3">
      <c r="S812" s="17"/>
    </row>
    <row r="813" spans="19:19" ht="20.100000000000001" customHeight="1" x14ac:dyDescent="0.3">
      <c r="S813" s="17"/>
    </row>
    <row r="814" spans="19:19" ht="20.100000000000001" customHeight="1" x14ac:dyDescent="0.3">
      <c r="S814" s="17"/>
    </row>
    <row r="815" spans="19:19" ht="20.100000000000001" customHeight="1" x14ac:dyDescent="0.3">
      <c r="S815" s="17"/>
    </row>
    <row r="816" spans="19:19" ht="20.100000000000001" customHeight="1" x14ac:dyDescent="0.3">
      <c r="S816" s="17"/>
    </row>
    <row r="817" spans="19:19" ht="20.100000000000001" customHeight="1" x14ac:dyDescent="0.3">
      <c r="S817" s="17"/>
    </row>
    <row r="818" spans="19:19" ht="20.100000000000001" customHeight="1" x14ac:dyDescent="0.3">
      <c r="S818" s="17"/>
    </row>
    <row r="819" spans="19:19" ht="20.100000000000001" customHeight="1" x14ac:dyDescent="0.3">
      <c r="S819" s="17"/>
    </row>
    <row r="820" spans="19:19" ht="20.100000000000001" customHeight="1" x14ac:dyDescent="0.3">
      <c r="S820" s="17"/>
    </row>
    <row r="821" spans="19:19" ht="20.100000000000001" customHeight="1" x14ac:dyDescent="0.3">
      <c r="S821" s="17"/>
    </row>
    <row r="822" spans="19:19" ht="20.100000000000001" customHeight="1" x14ac:dyDescent="0.3">
      <c r="S822" s="17"/>
    </row>
    <row r="823" spans="19:19" ht="20.100000000000001" customHeight="1" x14ac:dyDescent="0.3">
      <c r="S823" s="17"/>
    </row>
    <row r="824" spans="19:19" ht="20.100000000000001" customHeight="1" x14ac:dyDescent="0.3">
      <c r="S824" s="17"/>
    </row>
    <row r="825" spans="19:19" ht="20.100000000000001" customHeight="1" x14ac:dyDescent="0.3">
      <c r="S825" s="17"/>
    </row>
    <row r="826" spans="19:19" ht="20.100000000000001" customHeight="1" x14ac:dyDescent="0.3">
      <c r="S826" s="17"/>
    </row>
    <row r="827" spans="19:19" ht="20.100000000000001" customHeight="1" x14ac:dyDescent="0.3">
      <c r="S827" s="17"/>
    </row>
    <row r="828" spans="19:19" ht="20.100000000000001" customHeight="1" x14ac:dyDescent="0.3">
      <c r="S828" s="17"/>
    </row>
    <row r="829" spans="19:19" ht="20.100000000000001" customHeight="1" x14ac:dyDescent="0.3">
      <c r="S829" s="17"/>
    </row>
    <row r="830" spans="19:19" ht="20.100000000000001" customHeight="1" x14ac:dyDescent="0.3">
      <c r="S830" s="17"/>
    </row>
    <row r="831" spans="19:19" ht="20.100000000000001" customHeight="1" x14ac:dyDescent="0.3">
      <c r="S831" s="17"/>
    </row>
    <row r="832" spans="19:19" ht="20.100000000000001" customHeight="1" x14ac:dyDescent="0.3">
      <c r="S832" s="17"/>
    </row>
    <row r="833" spans="19:19" ht="20.100000000000001" customHeight="1" x14ac:dyDescent="0.3">
      <c r="S833" s="17"/>
    </row>
    <row r="834" spans="19:19" ht="20.100000000000001" customHeight="1" x14ac:dyDescent="0.3">
      <c r="S834" s="17"/>
    </row>
    <row r="835" spans="19:19" ht="20.100000000000001" customHeight="1" x14ac:dyDescent="0.3">
      <c r="S835" s="17"/>
    </row>
    <row r="836" spans="19:19" ht="20.100000000000001" customHeight="1" x14ac:dyDescent="0.3">
      <c r="S836" s="17"/>
    </row>
    <row r="837" spans="19:19" ht="20.100000000000001" customHeight="1" x14ac:dyDescent="0.3">
      <c r="S837" s="17"/>
    </row>
    <row r="838" spans="19:19" ht="20.100000000000001" customHeight="1" x14ac:dyDescent="0.3">
      <c r="S838" s="17"/>
    </row>
    <row r="839" spans="19:19" ht="20.100000000000001" customHeight="1" x14ac:dyDescent="0.3">
      <c r="S839" s="17"/>
    </row>
    <row r="840" spans="19:19" ht="20.100000000000001" customHeight="1" x14ac:dyDescent="0.3">
      <c r="S840" s="17"/>
    </row>
    <row r="841" spans="19:19" ht="20.100000000000001" customHeight="1" x14ac:dyDescent="0.3">
      <c r="S841" s="17"/>
    </row>
    <row r="842" spans="19:19" ht="20.100000000000001" customHeight="1" x14ac:dyDescent="0.3">
      <c r="S842" s="17"/>
    </row>
    <row r="843" spans="19:19" ht="20.100000000000001" customHeight="1" x14ac:dyDescent="0.3">
      <c r="S843" s="17"/>
    </row>
    <row r="844" spans="19:19" ht="20.100000000000001" customHeight="1" x14ac:dyDescent="0.3">
      <c r="S844" s="17"/>
    </row>
    <row r="845" spans="19:19" ht="20.100000000000001" customHeight="1" x14ac:dyDescent="0.3">
      <c r="S845" s="17"/>
    </row>
    <row r="846" spans="19:19" ht="20.100000000000001" customHeight="1" x14ac:dyDescent="0.3">
      <c r="S846" s="17"/>
    </row>
    <row r="847" spans="19:19" ht="20.100000000000001" customHeight="1" x14ac:dyDescent="0.3">
      <c r="S847" s="17"/>
    </row>
    <row r="848" spans="19:19" ht="20.100000000000001" customHeight="1" x14ac:dyDescent="0.3">
      <c r="S848" s="17"/>
    </row>
    <row r="849" spans="19:19" ht="20.100000000000001" customHeight="1" x14ac:dyDescent="0.3">
      <c r="S849" s="17"/>
    </row>
    <row r="850" spans="19:19" ht="20.100000000000001" customHeight="1" x14ac:dyDescent="0.3">
      <c r="S850" s="17"/>
    </row>
    <row r="851" spans="19:19" ht="20.100000000000001" customHeight="1" x14ac:dyDescent="0.3">
      <c r="S851" s="17"/>
    </row>
    <row r="852" spans="19:19" ht="20.100000000000001" customHeight="1" x14ac:dyDescent="0.3">
      <c r="S852" s="17"/>
    </row>
    <row r="853" spans="19:19" ht="20.100000000000001" customHeight="1" x14ac:dyDescent="0.3">
      <c r="S853" s="17"/>
    </row>
    <row r="854" spans="19:19" ht="20.100000000000001" customHeight="1" x14ac:dyDescent="0.3">
      <c r="S854" s="17"/>
    </row>
    <row r="855" spans="19:19" ht="20.100000000000001" customHeight="1" x14ac:dyDescent="0.3">
      <c r="S855" s="17"/>
    </row>
    <row r="856" spans="19:19" ht="20.100000000000001" customHeight="1" x14ac:dyDescent="0.3">
      <c r="S856" s="17"/>
    </row>
    <row r="857" spans="19:19" ht="20.100000000000001" customHeight="1" x14ac:dyDescent="0.3">
      <c r="S857" s="17"/>
    </row>
    <row r="858" spans="19:19" ht="20.100000000000001" customHeight="1" x14ac:dyDescent="0.3">
      <c r="S858" s="17"/>
    </row>
    <row r="859" spans="19:19" ht="20.100000000000001" customHeight="1" x14ac:dyDescent="0.3">
      <c r="S859" s="17"/>
    </row>
    <row r="860" spans="19:19" ht="20.100000000000001" customHeight="1" x14ac:dyDescent="0.3">
      <c r="S860" s="17"/>
    </row>
    <row r="861" spans="19:19" ht="20.100000000000001" customHeight="1" x14ac:dyDescent="0.3">
      <c r="S861" s="17"/>
    </row>
    <row r="862" spans="19:19" ht="20.100000000000001" customHeight="1" x14ac:dyDescent="0.3">
      <c r="S862" s="17"/>
    </row>
    <row r="863" spans="19:19" ht="20.100000000000001" customHeight="1" x14ac:dyDescent="0.3">
      <c r="S863" s="17"/>
    </row>
    <row r="864" spans="19:19" ht="20.100000000000001" customHeight="1" x14ac:dyDescent="0.3">
      <c r="S864" s="17"/>
    </row>
    <row r="865" spans="19:19" ht="20.100000000000001" customHeight="1" x14ac:dyDescent="0.3">
      <c r="S865" s="17"/>
    </row>
    <row r="866" spans="19:19" ht="20.100000000000001" customHeight="1" x14ac:dyDescent="0.3">
      <c r="S866" s="17"/>
    </row>
    <row r="867" spans="19:19" ht="20.100000000000001" customHeight="1" x14ac:dyDescent="0.3">
      <c r="S867" s="17"/>
    </row>
    <row r="868" spans="19:19" ht="20.100000000000001" customHeight="1" x14ac:dyDescent="0.3">
      <c r="S868" s="17"/>
    </row>
    <row r="869" spans="19:19" ht="20.100000000000001" customHeight="1" x14ac:dyDescent="0.3">
      <c r="S869" s="17"/>
    </row>
    <row r="870" spans="19:19" ht="20.100000000000001" customHeight="1" x14ac:dyDescent="0.3">
      <c r="S870" s="17"/>
    </row>
    <row r="871" spans="19:19" ht="20.100000000000001" customHeight="1" x14ac:dyDescent="0.3">
      <c r="S871" s="17"/>
    </row>
    <row r="872" spans="19:19" ht="20.100000000000001" customHeight="1" x14ac:dyDescent="0.3">
      <c r="S872" s="17"/>
    </row>
    <row r="873" spans="19:19" ht="20.100000000000001" customHeight="1" x14ac:dyDescent="0.3">
      <c r="S873" s="17"/>
    </row>
    <row r="874" spans="19:19" ht="20.100000000000001" customHeight="1" x14ac:dyDescent="0.3">
      <c r="S874" s="17"/>
    </row>
    <row r="875" spans="19:19" ht="20.100000000000001" customHeight="1" x14ac:dyDescent="0.3">
      <c r="S875" s="17"/>
    </row>
    <row r="876" spans="19:19" ht="20.100000000000001" customHeight="1" x14ac:dyDescent="0.3">
      <c r="S876" s="17"/>
    </row>
    <row r="877" spans="19:19" ht="20.100000000000001" customHeight="1" x14ac:dyDescent="0.3">
      <c r="S877" s="17"/>
    </row>
    <row r="878" spans="19:19" ht="20.100000000000001" customHeight="1" x14ac:dyDescent="0.3">
      <c r="S878" s="17"/>
    </row>
    <row r="879" spans="19:19" ht="20.100000000000001" customHeight="1" x14ac:dyDescent="0.3">
      <c r="S879" s="17"/>
    </row>
    <row r="880" spans="19:19" ht="20.100000000000001" customHeight="1" x14ac:dyDescent="0.3">
      <c r="S880" s="17"/>
    </row>
    <row r="881" spans="19:19" ht="20.100000000000001" customHeight="1" x14ac:dyDescent="0.3">
      <c r="S881" s="17"/>
    </row>
    <row r="882" spans="19:19" ht="20.100000000000001" customHeight="1" x14ac:dyDescent="0.3">
      <c r="S882" s="17"/>
    </row>
    <row r="883" spans="19:19" ht="20.100000000000001" customHeight="1" x14ac:dyDescent="0.3">
      <c r="S883" s="17"/>
    </row>
    <row r="884" spans="19:19" ht="20.100000000000001" customHeight="1" x14ac:dyDescent="0.3">
      <c r="S884" s="17"/>
    </row>
    <row r="885" spans="19:19" ht="20.100000000000001" customHeight="1" x14ac:dyDescent="0.3">
      <c r="S885" s="17"/>
    </row>
    <row r="886" spans="19:19" ht="20.100000000000001" customHeight="1" x14ac:dyDescent="0.3">
      <c r="S886" s="17"/>
    </row>
    <row r="887" spans="19:19" ht="20.100000000000001" customHeight="1" x14ac:dyDescent="0.3">
      <c r="S887" s="17"/>
    </row>
    <row r="888" spans="19:19" ht="20.100000000000001" customHeight="1" x14ac:dyDescent="0.3">
      <c r="S888" s="17"/>
    </row>
    <row r="889" spans="19:19" ht="20.100000000000001" customHeight="1" x14ac:dyDescent="0.3">
      <c r="S889" s="17"/>
    </row>
    <row r="890" spans="19:19" ht="20.100000000000001" customHeight="1" x14ac:dyDescent="0.3">
      <c r="S890" s="17"/>
    </row>
    <row r="891" spans="19:19" ht="20.100000000000001" customHeight="1" x14ac:dyDescent="0.3">
      <c r="S891" s="17"/>
    </row>
    <row r="892" spans="19:19" ht="20.100000000000001" customHeight="1" x14ac:dyDescent="0.3">
      <c r="S892" s="17"/>
    </row>
    <row r="893" spans="19:19" ht="20.100000000000001" customHeight="1" x14ac:dyDescent="0.3">
      <c r="S893" s="17"/>
    </row>
    <row r="894" spans="19:19" ht="20.100000000000001" customHeight="1" x14ac:dyDescent="0.3">
      <c r="S894" s="17"/>
    </row>
    <row r="895" spans="19:19" ht="20.100000000000001" customHeight="1" x14ac:dyDescent="0.3">
      <c r="S895" s="17"/>
    </row>
    <row r="896" spans="19:19" ht="20.100000000000001" customHeight="1" x14ac:dyDescent="0.3">
      <c r="S896" s="17"/>
    </row>
    <row r="897" spans="19:19" ht="20.100000000000001" customHeight="1" x14ac:dyDescent="0.3">
      <c r="S897" s="17"/>
    </row>
    <row r="898" spans="19:19" ht="20.100000000000001" customHeight="1" x14ac:dyDescent="0.3">
      <c r="S898" s="17"/>
    </row>
    <row r="899" spans="19:19" ht="20.100000000000001" customHeight="1" x14ac:dyDescent="0.3">
      <c r="S899" s="17"/>
    </row>
    <row r="900" spans="19:19" ht="20.100000000000001" customHeight="1" x14ac:dyDescent="0.3">
      <c r="S900" s="17"/>
    </row>
    <row r="901" spans="19:19" ht="20.100000000000001" customHeight="1" x14ac:dyDescent="0.3">
      <c r="S901" s="17"/>
    </row>
    <row r="902" spans="19:19" ht="20.100000000000001" customHeight="1" x14ac:dyDescent="0.3">
      <c r="S902" s="17"/>
    </row>
    <row r="903" spans="19:19" ht="20.100000000000001" customHeight="1" x14ac:dyDescent="0.3">
      <c r="S903" s="17"/>
    </row>
    <row r="904" spans="19:19" ht="20.100000000000001" customHeight="1" x14ac:dyDescent="0.3">
      <c r="S904" s="17"/>
    </row>
    <row r="905" spans="19:19" ht="20.100000000000001" customHeight="1" x14ac:dyDescent="0.3">
      <c r="S905" s="17"/>
    </row>
    <row r="906" spans="19:19" ht="20.100000000000001" customHeight="1" x14ac:dyDescent="0.3">
      <c r="S906" s="17"/>
    </row>
    <row r="907" spans="19:19" ht="20.100000000000001" customHeight="1" x14ac:dyDescent="0.3">
      <c r="S907" s="17"/>
    </row>
    <row r="908" spans="19:19" ht="20.100000000000001" customHeight="1" x14ac:dyDescent="0.3">
      <c r="S908" s="17"/>
    </row>
    <row r="909" spans="19:19" ht="20.100000000000001" customHeight="1" x14ac:dyDescent="0.3">
      <c r="S909" s="17"/>
    </row>
    <row r="910" spans="19:19" ht="20.100000000000001" customHeight="1" x14ac:dyDescent="0.3">
      <c r="S910" s="17"/>
    </row>
    <row r="911" spans="19:19" ht="20.100000000000001" customHeight="1" x14ac:dyDescent="0.3">
      <c r="S911" s="17"/>
    </row>
    <row r="912" spans="19:19" ht="20.100000000000001" customHeight="1" x14ac:dyDescent="0.3">
      <c r="S912" s="17"/>
    </row>
    <row r="913" spans="19:19" ht="20.100000000000001" customHeight="1" x14ac:dyDescent="0.3">
      <c r="S913" s="17"/>
    </row>
    <row r="914" spans="19:19" ht="20.100000000000001" customHeight="1" x14ac:dyDescent="0.3">
      <c r="S914" s="17"/>
    </row>
    <row r="915" spans="19:19" ht="20.100000000000001" customHeight="1" x14ac:dyDescent="0.3">
      <c r="S915" s="17"/>
    </row>
    <row r="916" spans="19:19" ht="20.100000000000001" customHeight="1" x14ac:dyDescent="0.3">
      <c r="S916" s="17"/>
    </row>
    <row r="917" spans="19:19" ht="20.100000000000001" customHeight="1" x14ac:dyDescent="0.3">
      <c r="S917" s="17"/>
    </row>
    <row r="918" spans="19:19" ht="20.100000000000001" customHeight="1" x14ac:dyDescent="0.3">
      <c r="S918" s="17"/>
    </row>
    <row r="919" spans="19:19" ht="20.100000000000001" customHeight="1" x14ac:dyDescent="0.3">
      <c r="S919" s="17"/>
    </row>
    <row r="920" spans="19:19" ht="20.100000000000001" customHeight="1" x14ac:dyDescent="0.3">
      <c r="S920" s="17"/>
    </row>
    <row r="921" spans="19:19" ht="20.100000000000001" customHeight="1" x14ac:dyDescent="0.3">
      <c r="S921" s="17"/>
    </row>
    <row r="922" spans="19:19" ht="20.100000000000001" customHeight="1" x14ac:dyDescent="0.3">
      <c r="S922" s="17"/>
    </row>
    <row r="923" spans="19:19" ht="20.100000000000001" customHeight="1" x14ac:dyDescent="0.3">
      <c r="S923" s="17"/>
    </row>
    <row r="924" spans="19:19" ht="20.100000000000001" customHeight="1" x14ac:dyDescent="0.3">
      <c r="S924" s="17"/>
    </row>
    <row r="925" spans="19:19" ht="20.100000000000001" customHeight="1" x14ac:dyDescent="0.3">
      <c r="S925" s="17"/>
    </row>
    <row r="926" spans="19:19" ht="20.100000000000001" customHeight="1" x14ac:dyDescent="0.3">
      <c r="S926" s="17"/>
    </row>
    <row r="927" spans="19:19" ht="20.100000000000001" customHeight="1" x14ac:dyDescent="0.3">
      <c r="S927" s="17"/>
    </row>
    <row r="928" spans="19:19" ht="20.100000000000001" customHeight="1" x14ac:dyDescent="0.3">
      <c r="S928" s="17"/>
    </row>
    <row r="929" spans="19:19" ht="20.100000000000001" customHeight="1" x14ac:dyDescent="0.3">
      <c r="S929" s="17"/>
    </row>
    <row r="930" spans="19:19" ht="20.100000000000001" customHeight="1" x14ac:dyDescent="0.3">
      <c r="S930" s="17"/>
    </row>
    <row r="931" spans="19:19" ht="20.100000000000001" customHeight="1" x14ac:dyDescent="0.3">
      <c r="S931" s="17"/>
    </row>
    <row r="932" spans="19:19" ht="20.100000000000001" customHeight="1" x14ac:dyDescent="0.3">
      <c r="S932" s="17"/>
    </row>
    <row r="933" spans="19:19" ht="20.100000000000001" customHeight="1" x14ac:dyDescent="0.3">
      <c r="S933" s="17"/>
    </row>
    <row r="934" spans="19:19" ht="20.100000000000001" customHeight="1" x14ac:dyDescent="0.3">
      <c r="S934" s="17"/>
    </row>
    <row r="935" spans="19:19" ht="20.100000000000001" customHeight="1" x14ac:dyDescent="0.3">
      <c r="S935" s="17"/>
    </row>
    <row r="936" spans="19:19" ht="20.100000000000001" customHeight="1" x14ac:dyDescent="0.3">
      <c r="S936" s="17"/>
    </row>
    <row r="937" spans="19:19" ht="20.100000000000001" customHeight="1" x14ac:dyDescent="0.3">
      <c r="S937" s="17"/>
    </row>
    <row r="938" spans="19:19" ht="20.100000000000001" customHeight="1" x14ac:dyDescent="0.3">
      <c r="S938" s="17"/>
    </row>
    <row r="939" spans="19:19" ht="20.100000000000001" customHeight="1" x14ac:dyDescent="0.3">
      <c r="S939" s="17"/>
    </row>
    <row r="940" spans="19:19" ht="20.100000000000001" customHeight="1" x14ac:dyDescent="0.3">
      <c r="S940" s="17"/>
    </row>
    <row r="941" spans="19:19" ht="20.100000000000001" customHeight="1" x14ac:dyDescent="0.3">
      <c r="S941" s="17"/>
    </row>
    <row r="942" spans="19:19" ht="20.100000000000001" customHeight="1" x14ac:dyDescent="0.3">
      <c r="S942" s="17"/>
    </row>
    <row r="943" spans="19:19" ht="20.100000000000001" customHeight="1" x14ac:dyDescent="0.3">
      <c r="S943" s="17"/>
    </row>
    <row r="944" spans="19:19" ht="20.100000000000001" customHeight="1" x14ac:dyDescent="0.3">
      <c r="S944" s="17"/>
    </row>
    <row r="945" spans="19:19" ht="20.100000000000001" customHeight="1" x14ac:dyDescent="0.3">
      <c r="S945" s="17"/>
    </row>
    <row r="946" spans="19:19" ht="20.100000000000001" customHeight="1" x14ac:dyDescent="0.3">
      <c r="S946" s="17"/>
    </row>
    <row r="947" spans="19:19" ht="20.100000000000001" customHeight="1" x14ac:dyDescent="0.3">
      <c r="S947" s="17"/>
    </row>
    <row r="948" spans="19:19" ht="20.100000000000001" customHeight="1" x14ac:dyDescent="0.3">
      <c r="S948" s="17"/>
    </row>
    <row r="949" spans="19:19" ht="20.100000000000001" customHeight="1" x14ac:dyDescent="0.3">
      <c r="S949" s="17"/>
    </row>
    <row r="950" spans="19:19" ht="20.100000000000001" customHeight="1" x14ac:dyDescent="0.3">
      <c r="S950" s="17"/>
    </row>
    <row r="951" spans="19:19" ht="20.100000000000001" customHeight="1" x14ac:dyDescent="0.3">
      <c r="S951" s="17"/>
    </row>
    <row r="952" spans="19:19" ht="20.100000000000001" customHeight="1" x14ac:dyDescent="0.3">
      <c r="S952" s="17"/>
    </row>
    <row r="953" spans="19:19" ht="20.100000000000001" customHeight="1" x14ac:dyDescent="0.3">
      <c r="S953" s="17"/>
    </row>
    <row r="954" spans="19:19" ht="20.100000000000001" customHeight="1" x14ac:dyDescent="0.3">
      <c r="S954" s="17"/>
    </row>
    <row r="955" spans="19:19" ht="20.100000000000001" customHeight="1" x14ac:dyDescent="0.3">
      <c r="S955" s="17"/>
    </row>
    <row r="956" spans="19:19" ht="20.100000000000001" customHeight="1" x14ac:dyDescent="0.3">
      <c r="S956" s="17"/>
    </row>
    <row r="957" spans="19:19" ht="20.100000000000001" customHeight="1" x14ac:dyDescent="0.3">
      <c r="S957" s="17"/>
    </row>
    <row r="958" spans="19:19" ht="20.100000000000001" customHeight="1" x14ac:dyDescent="0.3">
      <c r="S958" s="17"/>
    </row>
    <row r="959" spans="19:19" ht="20.100000000000001" customHeight="1" x14ac:dyDescent="0.3">
      <c r="S959" s="17"/>
    </row>
    <row r="960" spans="19:19" ht="20.100000000000001" customHeight="1" x14ac:dyDescent="0.3">
      <c r="S960" s="17"/>
    </row>
    <row r="961" spans="19:19" ht="20.100000000000001" customHeight="1" x14ac:dyDescent="0.3">
      <c r="S961" s="17"/>
    </row>
    <row r="962" spans="19:19" ht="20.100000000000001" customHeight="1" x14ac:dyDescent="0.3">
      <c r="S962" s="17"/>
    </row>
    <row r="963" spans="19:19" ht="20.100000000000001" customHeight="1" x14ac:dyDescent="0.3">
      <c r="S963" s="17"/>
    </row>
    <row r="964" spans="19:19" ht="20.100000000000001" customHeight="1" x14ac:dyDescent="0.3">
      <c r="S964" s="17"/>
    </row>
    <row r="965" spans="19:19" ht="20.100000000000001" customHeight="1" x14ac:dyDescent="0.3">
      <c r="S965" s="17"/>
    </row>
    <row r="966" spans="19:19" ht="20.100000000000001" customHeight="1" x14ac:dyDescent="0.3">
      <c r="S966" s="17"/>
    </row>
    <row r="967" spans="19:19" ht="20.100000000000001" customHeight="1" x14ac:dyDescent="0.3">
      <c r="S967" s="17"/>
    </row>
    <row r="968" spans="19:19" ht="20.100000000000001" customHeight="1" x14ac:dyDescent="0.3">
      <c r="S968" s="17"/>
    </row>
    <row r="969" spans="19:19" ht="20.100000000000001" customHeight="1" x14ac:dyDescent="0.3">
      <c r="S969" s="17"/>
    </row>
    <row r="970" spans="19:19" ht="20.100000000000001" customHeight="1" x14ac:dyDescent="0.3">
      <c r="S970" s="17"/>
    </row>
    <row r="971" spans="19:19" ht="20.100000000000001" customHeight="1" x14ac:dyDescent="0.3">
      <c r="S971" s="17"/>
    </row>
    <row r="972" spans="19:19" ht="20.100000000000001" customHeight="1" x14ac:dyDescent="0.3">
      <c r="S972" s="17"/>
    </row>
    <row r="973" spans="19:19" ht="20.100000000000001" customHeight="1" x14ac:dyDescent="0.3">
      <c r="S973" s="17"/>
    </row>
    <row r="974" spans="19:19" ht="20.100000000000001" customHeight="1" x14ac:dyDescent="0.3">
      <c r="S974" s="17"/>
    </row>
    <row r="975" spans="19:19" ht="20.100000000000001" customHeight="1" x14ac:dyDescent="0.3">
      <c r="S975" s="17"/>
    </row>
    <row r="976" spans="19:19" ht="20.100000000000001" customHeight="1" x14ac:dyDescent="0.3">
      <c r="S976" s="17"/>
    </row>
    <row r="977" spans="19:19" ht="20.100000000000001" customHeight="1" x14ac:dyDescent="0.3">
      <c r="S977" s="17"/>
    </row>
    <row r="978" spans="19:19" ht="20.100000000000001" customHeight="1" x14ac:dyDescent="0.3">
      <c r="S978" s="17"/>
    </row>
    <row r="979" spans="19:19" ht="20.100000000000001" customHeight="1" x14ac:dyDescent="0.3">
      <c r="S979" s="17"/>
    </row>
    <row r="980" spans="19:19" ht="20.100000000000001" customHeight="1" x14ac:dyDescent="0.3">
      <c r="S980" s="17"/>
    </row>
    <row r="981" spans="19:19" ht="20.100000000000001" customHeight="1" x14ac:dyDescent="0.3">
      <c r="S981" s="17"/>
    </row>
    <row r="982" spans="19:19" ht="20.100000000000001" customHeight="1" x14ac:dyDescent="0.3">
      <c r="S982" s="17"/>
    </row>
    <row r="983" spans="19:19" ht="20.100000000000001" customHeight="1" x14ac:dyDescent="0.3">
      <c r="S983" s="17"/>
    </row>
    <row r="984" spans="19:19" ht="20.100000000000001" customHeight="1" x14ac:dyDescent="0.3">
      <c r="S984" s="17"/>
    </row>
    <row r="985" spans="19:19" ht="20.100000000000001" customHeight="1" x14ac:dyDescent="0.3">
      <c r="S985" s="17"/>
    </row>
    <row r="986" spans="19:19" ht="20.100000000000001" customHeight="1" x14ac:dyDescent="0.3">
      <c r="S986" s="17"/>
    </row>
    <row r="987" spans="19:19" ht="20.100000000000001" customHeight="1" x14ac:dyDescent="0.3">
      <c r="S987" s="17"/>
    </row>
    <row r="988" spans="19:19" ht="20.100000000000001" customHeight="1" x14ac:dyDescent="0.3">
      <c r="S988" s="17"/>
    </row>
    <row r="989" spans="19:19" ht="20.100000000000001" customHeight="1" x14ac:dyDescent="0.3">
      <c r="S989" s="17"/>
    </row>
    <row r="990" spans="19:19" ht="20.100000000000001" customHeight="1" x14ac:dyDescent="0.3">
      <c r="S990" s="17"/>
    </row>
    <row r="991" spans="19:19" ht="20.100000000000001" customHeight="1" x14ac:dyDescent="0.3">
      <c r="S991" s="17"/>
    </row>
    <row r="992" spans="19:19" ht="20.100000000000001" customHeight="1" x14ac:dyDescent="0.3">
      <c r="S992" s="17"/>
    </row>
    <row r="993" spans="19:19" ht="20.100000000000001" customHeight="1" x14ac:dyDescent="0.3">
      <c r="S993" s="17"/>
    </row>
    <row r="994" spans="19:19" ht="20.100000000000001" customHeight="1" x14ac:dyDescent="0.3">
      <c r="S994" s="17"/>
    </row>
    <row r="995" spans="19:19" ht="20.100000000000001" customHeight="1" x14ac:dyDescent="0.3">
      <c r="S995" s="17"/>
    </row>
    <row r="996" spans="19:19" ht="20.100000000000001" customHeight="1" x14ac:dyDescent="0.3">
      <c r="S996" s="17"/>
    </row>
    <row r="997" spans="19:19" ht="20.100000000000001" customHeight="1" x14ac:dyDescent="0.3">
      <c r="S997" s="17"/>
    </row>
    <row r="998" spans="19:19" ht="20.100000000000001" customHeight="1" x14ac:dyDescent="0.3">
      <c r="S998" s="17"/>
    </row>
    <row r="999" spans="19:19" ht="20.100000000000001" customHeight="1" x14ac:dyDescent="0.3">
      <c r="S999" s="17"/>
    </row>
    <row r="1000" spans="19:19" ht="20.100000000000001" customHeight="1" x14ac:dyDescent="0.3">
      <c r="S1000" s="17"/>
    </row>
    <row r="1001" spans="19:19" ht="20.100000000000001" customHeight="1" x14ac:dyDescent="0.3">
      <c r="S1001" s="17"/>
    </row>
    <row r="1002" spans="19:19" ht="20.100000000000001" customHeight="1" x14ac:dyDescent="0.3">
      <c r="S1002" s="17"/>
    </row>
    <row r="1003" spans="19:19" ht="20.100000000000001" customHeight="1" x14ac:dyDescent="0.3">
      <c r="S1003" s="17"/>
    </row>
    <row r="1004" spans="19:19" ht="20.100000000000001" customHeight="1" x14ac:dyDescent="0.3">
      <c r="S1004" s="17"/>
    </row>
    <row r="1005" spans="19:19" ht="20.100000000000001" customHeight="1" x14ac:dyDescent="0.3">
      <c r="S1005" s="17"/>
    </row>
    <row r="1006" spans="19:19" ht="20.100000000000001" customHeight="1" x14ac:dyDescent="0.3">
      <c r="S1006" s="17"/>
    </row>
    <row r="1007" spans="19:19" ht="20.100000000000001" customHeight="1" x14ac:dyDescent="0.3">
      <c r="S1007" s="17"/>
    </row>
    <row r="1008" spans="19:19" ht="20.100000000000001" customHeight="1" x14ac:dyDescent="0.3">
      <c r="S1008" s="17"/>
    </row>
    <row r="1009" spans="19:19" ht="20.100000000000001" customHeight="1" x14ac:dyDescent="0.3">
      <c r="S1009" s="17"/>
    </row>
    <row r="1010" spans="19:19" ht="20.100000000000001" customHeight="1" x14ac:dyDescent="0.3">
      <c r="S1010" s="17"/>
    </row>
    <row r="1011" spans="19:19" ht="20.100000000000001" customHeight="1" x14ac:dyDescent="0.3">
      <c r="S1011" s="17"/>
    </row>
    <row r="1012" spans="19:19" ht="20.100000000000001" customHeight="1" x14ac:dyDescent="0.3">
      <c r="S1012" s="17"/>
    </row>
    <row r="1013" spans="19:19" ht="20.100000000000001" customHeight="1" x14ac:dyDescent="0.3">
      <c r="S1013" s="17"/>
    </row>
    <row r="1014" spans="19:19" ht="20.100000000000001" customHeight="1" x14ac:dyDescent="0.3">
      <c r="S1014" s="17"/>
    </row>
    <row r="1015" spans="19:19" ht="20.100000000000001" customHeight="1" x14ac:dyDescent="0.3">
      <c r="S1015" s="17"/>
    </row>
    <row r="1016" spans="19:19" ht="20.100000000000001" customHeight="1" x14ac:dyDescent="0.3">
      <c r="S1016" s="17"/>
    </row>
    <row r="1017" spans="19:19" ht="20.100000000000001" customHeight="1" x14ac:dyDescent="0.3">
      <c r="S1017" s="17"/>
    </row>
    <row r="1018" spans="19:19" ht="20.100000000000001" customHeight="1" x14ac:dyDescent="0.3">
      <c r="S1018" s="17"/>
    </row>
    <row r="1019" spans="19:19" ht="20.100000000000001" customHeight="1" x14ac:dyDescent="0.3">
      <c r="S1019" s="17"/>
    </row>
    <row r="1020" spans="19:19" ht="20.100000000000001" customHeight="1" x14ac:dyDescent="0.3">
      <c r="S1020" s="17"/>
    </row>
    <row r="1021" spans="19:19" ht="20.100000000000001" customHeight="1" x14ac:dyDescent="0.3">
      <c r="S1021" s="17"/>
    </row>
    <row r="1022" spans="19:19" ht="20.100000000000001" customHeight="1" x14ac:dyDescent="0.3">
      <c r="S1022" s="17"/>
    </row>
    <row r="1023" spans="19:19" ht="20.100000000000001" customHeight="1" x14ac:dyDescent="0.3">
      <c r="S1023" s="17"/>
    </row>
    <row r="1024" spans="19:19" ht="20.100000000000001" customHeight="1" x14ac:dyDescent="0.3">
      <c r="S1024" s="17"/>
    </row>
    <row r="1025" spans="19:19" ht="20.100000000000001" customHeight="1" x14ac:dyDescent="0.3">
      <c r="S1025" s="17"/>
    </row>
    <row r="1026" spans="19:19" ht="20.100000000000001" customHeight="1" x14ac:dyDescent="0.3">
      <c r="S1026" s="17"/>
    </row>
    <row r="1027" spans="19:19" ht="20.100000000000001" customHeight="1" x14ac:dyDescent="0.3">
      <c r="S1027" s="17"/>
    </row>
    <row r="1028" spans="19:19" ht="20.100000000000001" customHeight="1" x14ac:dyDescent="0.3">
      <c r="S1028" s="17"/>
    </row>
    <row r="1029" spans="19:19" ht="20.100000000000001" customHeight="1" x14ac:dyDescent="0.3">
      <c r="S1029" s="17"/>
    </row>
    <row r="1030" spans="19:19" ht="20.100000000000001" customHeight="1" x14ac:dyDescent="0.3">
      <c r="S1030" s="17"/>
    </row>
    <row r="1031" spans="19:19" ht="20.100000000000001" customHeight="1" x14ac:dyDescent="0.3">
      <c r="S1031" s="17"/>
    </row>
    <row r="1032" spans="19:19" ht="20.100000000000001" customHeight="1" x14ac:dyDescent="0.3">
      <c r="S1032" s="17"/>
    </row>
    <row r="1033" spans="19:19" x14ac:dyDescent="0.3">
      <c r="S1033" s="17"/>
    </row>
    <row r="1034" spans="19:19" x14ac:dyDescent="0.3">
      <c r="S1034" s="17"/>
    </row>
    <row r="1035" spans="19:19" x14ac:dyDescent="0.3">
      <c r="S1035" s="17"/>
    </row>
    <row r="1036" spans="19:19" x14ac:dyDescent="0.3">
      <c r="S1036" s="17"/>
    </row>
    <row r="1037" spans="19:19" x14ac:dyDescent="0.3">
      <c r="S1037" s="17"/>
    </row>
    <row r="1038" spans="19:19" x14ac:dyDescent="0.3">
      <c r="S1038" s="17"/>
    </row>
    <row r="1039" spans="19:19" x14ac:dyDescent="0.3">
      <c r="S1039" s="17"/>
    </row>
    <row r="1040" spans="19:19" x14ac:dyDescent="0.3">
      <c r="S1040" s="17"/>
    </row>
  </sheetData>
  <phoneticPr fontId="10"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4DFAE-F57D-4817-8F69-2F5FC264CBB9}">
  <dimension ref="A1:AN18"/>
  <sheetViews>
    <sheetView topLeftCell="J1" workbookViewId="0">
      <selection activeCell="M2" sqref="M2:M7"/>
      <pivotSelection pane="bottomRight" showHeader="1" activeRow="1" activeCol="12" click="1" r:id="rId10">
        <pivotArea dataOnly="0" labelOnly="1" fieldPosition="0">
          <references count="1">
            <reference field="5" count="0"/>
          </references>
        </pivotArea>
      </pivotSelection>
    </sheetView>
  </sheetViews>
  <sheetFormatPr defaultRowHeight="14.4" x14ac:dyDescent="0.3"/>
  <cols>
    <col min="1" max="1" width="12.77734375" bestFit="1" customWidth="1"/>
    <col min="2" max="2" width="9.88671875" bestFit="1" customWidth="1"/>
    <col min="3" max="3" width="9.88671875" style="29" customWidth="1"/>
    <col min="4" max="4" width="9.88671875" customWidth="1"/>
    <col min="5" max="5" width="18.5546875" bestFit="1" customWidth="1"/>
    <col min="6" max="6" width="8.88671875" style="21"/>
    <col min="7" max="7" width="9.88671875" customWidth="1"/>
    <col min="8" max="8" width="11.21875" bestFit="1" customWidth="1"/>
    <col min="9" max="9" width="8.88671875" style="21"/>
    <col min="10" max="10" width="12.5546875" bestFit="1" customWidth="1"/>
    <col min="11" max="11" width="14.5546875" bestFit="1" customWidth="1"/>
    <col min="12" max="12" width="8.88671875" style="21"/>
    <col min="13" max="13" width="12.5546875" bestFit="1" customWidth="1"/>
    <col min="14" max="14" width="16.5546875" bestFit="1" customWidth="1"/>
    <col min="15" max="15" width="16.5546875" style="21" bestFit="1" customWidth="1"/>
    <col min="16" max="16" width="12.5546875" bestFit="1" customWidth="1"/>
    <col min="17" max="17" width="16.109375" bestFit="1" customWidth="1"/>
    <col min="18" max="18" width="21.6640625" style="21" bestFit="1" customWidth="1"/>
    <col min="19" max="19" width="12.5546875" bestFit="1" customWidth="1"/>
    <col min="20" max="20" width="12.6640625" bestFit="1" customWidth="1"/>
    <col min="21" max="21" width="8.88671875" style="21"/>
    <col min="22" max="22" width="12.5546875" bestFit="1" customWidth="1"/>
    <col min="23" max="23" width="14.5546875" bestFit="1" customWidth="1"/>
    <col min="24" max="24" width="8.44140625" style="21" bestFit="1" customWidth="1"/>
    <col min="25" max="25" width="12.5546875" bestFit="1" customWidth="1"/>
    <col min="26" max="26" width="14.5546875" bestFit="1" customWidth="1"/>
    <col min="27" max="27" width="6.5546875" style="21" bestFit="1" customWidth="1"/>
    <col min="28" max="28" width="9.88671875" bestFit="1" customWidth="1"/>
    <col min="29" max="29" width="5.5546875" bestFit="1" customWidth="1"/>
    <col min="30" max="30" width="10.109375" bestFit="1" customWidth="1"/>
    <col min="31" max="31" width="6.77734375" bestFit="1" customWidth="1"/>
    <col min="32" max="32" width="6.5546875" bestFit="1" customWidth="1"/>
    <col min="33" max="33" width="8.6640625" bestFit="1" customWidth="1"/>
    <col min="34" max="34" width="5.77734375" bestFit="1" customWidth="1"/>
    <col min="35" max="35" width="10.77734375" bestFit="1" customWidth="1"/>
    <col min="38" max="38" width="8.88671875" style="28"/>
    <col min="39" max="39" width="24.77734375" bestFit="1" customWidth="1"/>
  </cols>
  <sheetData>
    <row r="1" spans="1:40" x14ac:dyDescent="0.3">
      <c r="B1" t="s">
        <v>298</v>
      </c>
      <c r="H1" t="s">
        <v>302</v>
      </c>
      <c r="J1" s="22" t="s">
        <v>300</v>
      </c>
      <c r="K1" t="s">
        <v>297</v>
      </c>
      <c r="M1" s="22" t="s">
        <v>300</v>
      </c>
      <c r="N1" t="s">
        <v>303</v>
      </c>
      <c r="P1" s="22" t="s">
        <v>300</v>
      </c>
      <c r="Q1" t="s">
        <v>305</v>
      </c>
      <c r="S1" s="22" t="s">
        <v>300</v>
      </c>
      <c r="T1" t="s">
        <v>308</v>
      </c>
      <c r="V1" s="22" t="s">
        <v>300</v>
      </c>
      <c r="W1" t="s">
        <v>297</v>
      </c>
      <c r="Y1" s="22" t="s">
        <v>300</v>
      </c>
      <c r="Z1" t="s">
        <v>297</v>
      </c>
      <c r="AB1" s="33"/>
      <c r="AC1" s="34"/>
      <c r="AD1" s="35"/>
      <c r="AM1" t="s">
        <v>309</v>
      </c>
    </row>
    <row r="2" spans="1:40" x14ac:dyDescent="0.3">
      <c r="A2" s="31">
        <f>GETPIVOTDATA("سعر البيع ",$B$1)</f>
        <v>196772</v>
      </c>
      <c r="B2" s="19">
        <v>196772</v>
      </c>
      <c r="C2" s="30"/>
      <c r="D2" s="31">
        <f>GETPIVOTDATA("سعر البيع ",$E$2)</f>
        <v>10931.777777777777</v>
      </c>
      <c r="E2" t="s">
        <v>299</v>
      </c>
      <c r="G2" s="32">
        <f>GETPIVOTDATA("الصنف",$H$1)</f>
        <v>18</v>
      </c>
      <c r="H2" s="41">
        <v>18</v>
      </c>
      <c r="J2" s="23" t="s">
        <v>6</v>
      </c>
      <c r="K2" s="25">
        <v>0.95197487447401052</v>
      </c>
      <c r="M2" s="23" t="s">
        <v>143</v>
      </c>
      <c r="N2" s="19">
        <v>11</v>
      </c>
      <c r="P2" s="23" t="s">
        <v>306</v>
      </c>
      <c r="Q2" s="24">
        <v>0.1111111111111111</v>
      </c>
      <c r="S2" s="23" t="s">
        <v>175</v>
      </c>
      <c r="T2" s="41">
        <v>18</v>
      </c>
      <c r="V2" s="23" t="s">
        <v>268</v>
      </c>
      <c r="W2" s="25">
        <v>0.12343219563759071</v>
      </c>
      <c r="Y2" s="23" t="s">
        <v>14</v>
      </c>
      <c r="Z2" s="25">
        <v>0.64690098184701073</v>
      </c>
      <c r="AB2" s="36"/>
      <c r="AC2" s="20"/>
      <c r="AD2" s="37"/>
      <c r="AM2">
        <v>15</v>
      </c>
      <c r="AN2">
        <f>GETPIVOTDATA("مدة التسليم (الفعلي)",$AM$1)</f>
        <v>15</v>
      </c>
    </row>
    <row r="3" spans="1:40" x14ac:dyDescent="0.3">
      <c r="E3" s="19">
        <v>10931.777777777777</v>
      </c>
      <c r="G3" s="18"/>
      <c r="J3" s="23" t="s">
        <v>31</v>
      </c>
      <c r="K3" s="25">
        <v>4.8025125525989469E-2</v>
      </c>
      <c r="M3" s="23" t="s">
        <v>273</v>
      </c>
      <c r="N3" s="41">
        <v>6</v>
      </c>
      <c r="P3" s="23" t="s">
        <v>307</v>
      </c>
      <c r="Q3" s="24">
        <v>0.88888888888888884</v>
      </c>
      <c r="S3" s="23" t="s">
        <v>301</v>
      </c>
      <c r="T3" s="41">
        <v>18</v>
      </c>
      <c r="V3" s="23" t="s">
        <v>263</v>
      </c>
      <c r="W3" s="25">
        <v>0.46784095298111522</v>
      </c>
      <c r="Y3" s="23" t="s">
        <v>274</v>
      </c>
      <c r="Z3" s="25">
        <v>0.35309901815298922</v>
      </c>
      <c r="AB3" s="36"/>
      <c r="AC3" s="20"/>
      <c r="AD3" s="37"/>
    </row>
    <row r="4" spans="1:40" x14ac:dyDescent="0.3">
      <c r="J4" s="23" t="s">
        <v>301</v>
      </c>
      <c r="K4" s="24">
        <v>1</v>
      </c>
      <c r="M4" s="23" t="s">
        <v>152</v>
      </c>
      <c r="N4" s="41">
        <v>1</v>
      </c>
      <c r="P4" s="23" t="s">
        <v>301</v>
      </c>
      <c r="Q4" s="24">
        <v>1</v>
      </c>
      <c r="V4" s="23" t="s">
        <v>270</v>
      </c>
      <c r="W4" s="25">
        <v>4.7765942308865085E-2</v>
      </c>
      <c r="Y4" s="23" t="s">
        <v>301</v>
      </c>
      <c r="Z4" s="25">
        <v>1</v>
      </c>
      <c r="AB4" s="36"/>
      <c r="AC4" s="20"/>
      <c r="AD4" s="37"/>
    </row>
    <row r="5" spans="1:40" x14ac:dyDescent="0.3">
      <c r="M5" s="23" t="s">
        <v>301</v>
      </c>
      <c r="N5" s="19">
        <v>18</v>
      </c>
      <c r="V5" s="23" t="s">
        <v>186</v>
      </c>
      <c r="W5" s="25">
        <v>4.5885593478746975E-2</v>
      </c>
      <c r="AB5" s="36"/>
      <c r="AC5" s="20"/>
      <c r="AD5" s="37"/>
    </row>
    <row r="6" spans="1:40" x14ac:dyDescent="0.3">
      <c r="V6" s="23" t="s">
        <v>265</v>
      </c>
      <c r="W6" s="25">
        <v>0.12752830687292907</v>
      </c>
      <c r="AB6" s="36"/>
      <c r="AC6" s="20"/>
      <c r="AD6" s="37"/>
    </row>
    <row r="7" spans="1:40" x14ac:dyDescent="0.3">
      <c r="V7" s="23" t="s">
        <v>269</v>
      </c>
      <c r="W7" s="25">
        <v>0.11179944301018438</v>
      </c>
      <c r="AB7" s="36"/>
      <c r="AC7" s="20"/>
      <c r="AD7" s="37"/>
    </row>
    <row r="8" spans="1:40" x14ac:dyDescent="0.3">
      <c r="V8" s="23" t="s">
        <v>267</v>
      </c>
      <c r="W8" s="25">
        <v>7.5747565710568579E-2</v>
      </c>
      <c r="AB8" s="36"/>
      <c r="AC8" s="20"/>
      <c r="AD8" s="37"/>
    </row>
    <row r="9" spans="1:40" x14ac:dyDescent="0.3">
      <c r="V9" s="23" t="s">
        <v>301</v>
      </c>
      <c r="W9" s="24">
        <v>1</v>
      </c>
      <c r="AB9" s="36"/>
      <c r="AC9" s="20"/>
      <c r="AD9" s="37"/>
    </row>
    <row r="10" spans="1:40" x14ac:dyDescent="0.3">
      <c r="N10" s="26"/>
      <c r="AB10" s="36"/>
      <c r="AC10" s="20"/>
      <c r="AD10" s="37"/>
    </row>
    <row r="11" spans="1:40" x14ac:dyDescent="0.3">
      <c r="AB11" s="36"/>
      <c r="AC11" s="20"/>
      <c r="AD11" s="37"/>
    </row>
    <row r="12" spans="1:40" x14ac:dyDescent="0.3">
      <c r="AB12" s="36"/>
      <c r="AC12" s="20"/>
      <c r="AD12" s="37"/>
    </row>
    <row r="13" spans="1:40" x14ac:dyDescent="0.3">
      <c r="AB13" s="36"/>
      <c r="AC13" s="20"/>
      <c r="AD13" s="37"/>
    </row>
    <row r="14" spans="1:40" x14ac:dyDescent="0.3">
      <c r="AB14" s="36"/>
      <c r="AC14" s="20"/>
      <c r="AD14" s="37"/>
    </row>
    <row r="15" spans="1:40" x14ac:dyDescent="0.3">
      <c r="AB15" s="36"/>
      <c r="AC15" s="20"/>
      <c r="AD15" s="37"/>
    </row>
    <row r="16" spans="1:40" x14ac:dyDescent="0.3">
      <c r="AB16" s="36"/>
      <c r="AC16" s="20"/>
      <c r="AD16" s="37"/>
    </row>
    <row r="17" spans="28:30" x14ac:dyDescent="0.3">
      <c r="AB17" s="36"/>
      <c r="AC17" s="20"/>
      <c r="AD17" s="37"/>
    </row>
    <row r="18" spans="28:30" x14ac:dyDescent="0.3">
      <c r="AB18" s="38"/>
      <c r="AC18" s="39"/>
      <c r="AD18" s="40"/>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DBD9-20D3-4817-BD3B-CD4BF33F2E82}">
  <dimension ref="A1"/>
  <sheetViews>
    <sheetView showGridLines="0" tabSelected="1" zoomScale="110" zoomScaleNormal="110" workbookViewId="0">
      <selection activeCell="W9" sqref="W9"/>
    </sheetView>
  </sheetViews>
  <sheetFormatPr defaultRowHeight="14.4" x14ac:dyDescent="0.3"/>
  <cols>
    <col min="1" max="2" width="8.88671875" style="27"/>
    <col min="3" max="3" width="10.44140625" style="27" customWidth="1"/>
    <col min="4" max="8" width="8.88671875" style="27"/>
    <col min="9" max="9" width="8.88671875" style="27" customWidth="1"/>
    <col min="10" max="18" width="8.88671875" style="27"/>
    <col min="19" max="19" width="9.109375" style="27" customWidth="1"/>
    <col min="20" max="16384" width="8.88671875" style="2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291508-8AFD-4455-8F97-75E052B4F4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الارشادات</vt:lpstr>
      <vt:lpstr>Table1</vt:lpstr>
      <vt:lpstr>البيانات</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mohamed_967</cp:lastModifiedBy>
  <dcterms:created xsi:type="dcterms:W3CDTF">2015-06-05T18:17:20Z</dcterms:created>
  <dcterms:modified xsi:type="dcterms:W3CDTF">2026-01-31T21:59:43Z</dcterms:modified>
</cp:coreProperties>
</file>